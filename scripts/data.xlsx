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cesidades" sheetId="1" r:id="rId5"/>
    <sheet state="visible" name="Datos de las escuela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tc={e396cc24-5adf-4205-962b-b6ae94a98b88}</author>
    <author>tc={e3b681c7-32fe-4acf-bf14-947ac065e0f4}</author>
    <author>tc={feaa1967-c456-4655-8ba2-1a325ce02b85}</author>
  </authors>
  <commentList>
    <comment authorId="0" xr:uid="{e396cc24-5adf-4205-962b-b6ae94a98b88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Estas tres están en un mismo plantel
</t>
      </text>
    </comment>
    <comment authorId="1" xr:uid="{e3b681c7-32fe-4acf-bf14-947ac065e0f4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Estas dos están en un mismo plantel
</t>
      </text>
    </comment>
    <comment authorId="2" xr:uid="{feaa1967-c456-4655-8ba2-1a325ce02b85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Estas dos están en un mismo plantel
</t>
      </text>
    </comment>
  </commentList>
</comments>
</file>

<file path=xl/sharedStrings.xml><?xml version="1.0" encoding="utf-8"?>
<sst xmlns="http://schemas.openxmlformats.org/spreadsheetml/2006/main" count="2790" uniqueCount="483">
  <si>
    <t>NECESIDADES DE ESCUELAS</t>
  </si>
  <si>
    <t>Municipio</t>
  </si>
  <si>
    <t>Escuela</t>
  </si>
  <si>
    <t>Categoría</t>
  </si>
  <si>
    <t>Subcategoría</t>
  </si>
  <si>
    <t>Propuesta</t>
  </si>
  <si>
    <t>Cantidad</t>
  </si>
  <si>
    <t>Unidad</t>
  </si>
  <si>
    <t>Estado</t>
  </si>
  <si>
    <t>Detalles</t>
  </si>
  <si>
    <t>Arandas</t>
  </si>
  <si>
    <t>Francisco Rojas</t>
  </si>
  <si>
    <t>Material</t>
  </si>
  <si>
    <t>Pizarrones / pintarrones</t>
  </si>
  <si>
    <t>Pizarrones</t>
  </si>
  <si>
    <t>Piezas</t>
  </si>
  <si>
    <t>Cubierto</t>
  </si>
  <si>
    <t>Infraestructura</t>
  </si>
  <si>
    <t>Construcción materiales</t>
  </si>
  <si>
    <t>Cubetas de pintura vinílica mate calidad tonal</t>
  </si>
  <si>
    <t>Broachas de 6"</t>
  </si>
  <si>
    <t>Aun no cubierto</t>
  </si>
  <si>
    <t>Galones de sellador vinílico</t>
  </si>
  <si>
    <t>Saco de SIAMIL</t>
  </si>
  <si>
    <t>Grava o pasto para zonas de tierra</t>
  </si>
  <si>
    <t>Costales</t>
  </si>
  <si>
    <t>Material de educación física</t>
  </si>
  <si>
    <t>Pelotas de plástico (rebotan)</t>
  </si>
  <si>
    <t>Sogas</t>
  </si>
  <si>
    <t>Balones</t>
  </si>
  <si>
    <t>Aros (tipo hula hula)</t>
  </si>
  <si>
    <t>Pelotas pequeñas (tipo alberca de pelotas)</t>
  </si>
  <si>
    <t>Conos</t>
  </si>
  <si>
    <t>Tramos de polín Monten de 6" calibre 14</t>
  </si>
  <si>
    <t>Tramos</t>
  </si>
  <si>
    <t>Lámina pintro calibre 26 de techo para 32 metros cuadrados (incluye aleros hacia el exterior y hormigón)</t>
  </si>
  <si>
    <t>Ladrillo 5-14-28</t>
  </si>
  <si>
    <t>Armex 15-15-4</t>
  </si>
  <si>
    <t xml:space="preserve">Arena </t>
  </si>
  <si>
    <t>Metros cúbicos</t>
  </si>
  <si>
    <t>Cemento</t>
  </si>
  <si>
    <t>Tonelada</t>
  </si>
  <si>
    <t>Mortero</t>
  </si>
  <si>
    <t>Puertas de herrería con protección</t>
  </si>
  <si>
    <t>Ventanas de herrería con protección</t>
  </si>
  <si>
    <t xml:space="preserve">Piso cerámico </t>
  </si>
  <si>
    <t>Metros cuadrados</t>
  </si>
  <si>
    <t>Saco pegapiso</t>
  </si>
  <si>
    <t>Saco junteador</t>
  </si>
  <si>
    <t>Formación</t>
  </si>
  <si>
    <t>Formación para docentes</t>
  </si>
  <si>
    <t>Docentes: convivencia y emociones</t>
  </si>
  <si>
    <t>Horas</t>
  </si>
  <si>
    <t>Formación de 2-4 horas para grupo de 6 docentes</t>
  </si>
  <si>
    <t>Formación para familias</t>
  </si>
  <si>
    <t>Familias: convivencia y emociones</t>
  </si>
  <si>
    <t>Formación de 2 horas para un grupo focalizado de madres y padres de familia (30 personas aprox.)</t>
  </si>
  <si>
    <t>Formación para estudiantes</t>
  </si>
  <si>
    <t>Estudiantes: convivencia y emociones</t>
  </si>
  <si>
    <t>Formación de 2 horas para cada grupo de la escuela primaria (5 grupos)</t>
  </si>
  <si>
    <t>Docentes: disciplina positiva</t>
  </si>
  <si>
    <t>Familias: crianza positiva  (maltrato infantil, obligaciones y responsabilidades (derechos de los niños, educación)</t>
  </si>
  <si>
    <t>Docentes: primeros auxilios</t>
  </si>
  <si>
    <t>San Juan de los Lagos</t>
  </si>
  <si>
    <t>Los Aguirre</t>
  </si>
  <si>
    <t>Material de papelería</t>
  </si>
  <si>
    <t>Hojas blancas</t>
  </si>
  <si>
    <t>Paquete</t>
  </si>
  <si>
    <t>Paquetes de 500</t>
  </si>
  <si>
    <t>Hojas de colores</t>
  </si>
  <si>
    <t>Cubierto parcialmente</t>
  </si>
  <si>
    <t>Paquetes de 1000</t>
  </si>
  <si>
    <t>Papelotes o cartulinas</t>
  </si>
  <si>
    <t>Paquetes de 50</t>
  </si>
  <si>
    <t>Marcadores de pizarrón</t>
  </si>
  <si>
    <t>Paquetes de 20</t>
  </si>
  <si>
    <t>Marcadores para estudiantes</t>
  </si>
  <si>
    <t>Paquetes de 12</t>
  </si>
  <si>
    <t>Sacapuntas</t>
  </si>
  <si>
    <t>Paquetes de 80</t>
  </si>
  <si>
    <t>Borradores</t>
  </si>
  <si>
    <t>Paquetes de 40</t>
  </si>
  <si>
    <t>Plumas</t>
  </si>
  <si>
    <t>Lápices</t>
  </si>
  <si>
    <t>Paquetes de 100</t>
  </si>
  <si>
    <t>Balón de fútbol</t>
  </si>
  <si>
    <t>Balón de voleibol</t>
  </si>
  <si>
    <t>Porterías</t>
  </si>
  <si>
    <t>Paquetes de 24</t>
  </si>
  <si>
    <t>Aros (hula hula)</t>
  </si>
  <si>
    <t>Paquetes de 15</t>
  </si>
  <si>
    <t>Cuerdas para saltar</t>
  </si>
  <si>
    <t>Paquetes de 8</t>
  </si>
  <si>
    <t>Pelotas de plástico grandes</t>
  </si>
  <si>
    <t>Material literario</t>
  </si>
  <si>
    <t>Enciclopedias</t>
  </si>
  <si>
    <t>Diccionarios</t>
  </si>
  <si>
    <t>Material didáctico</t>
  </si>
  <si>
    <t>Juegos de mesa</t>
  </si>
  <si>
    <t>Mobiliario</t>
  </si>
  <si>
    <t>Sillas para estudiantes</t>
  </si>
  <si>
    <t>Mesas para estudiantes</t>
  </si>
  <si>
    <t>Mesas dobles (para que compartan 2 personas)</t>
  </si>
  <si>
    <t>Sillas para docentes</t>
  </si>
  <si>
    <t>Escritorios para docentes</t>
  </si>
  <si>
    <t>Anaqueles</t>
  </si>
  <si>
    <t>Comedores</t>
  </si>
  <si>
    <t>Similar a mesa de picnic</t>
  </si>
  <si>
    <t>Pizarrones (grandes)</t>
  </si>
  <si>
    <t>Material - construcción</t>
  </si>
  <si>
    <t>Cemento: 4 toneladas</t>
  </si>
  <si>
    <t>Mortero: 1 tonelada</t>
  </si>
  <si>
    <t>Arena de río de 7 metros cúbicos</t>
  </si>
  <si>
    <t>Viajes</t>
  </si>
  <si>
    <t>Grava de 7 metros cúbicos</t>
  </si>
  <si>
    <t>Salud</t>
  </si>
  <si>
    <t>Salud física</t>
  </si>
  <si>
    <t>Botiquín</t>
  </si>
  <si>
    <t>Estudiantes: manejo de emociones</t>
  </si>
  <si>
    <t>Formación para un grupo de estudiantes de secundaria (aprox. 25 alumnos)</t>
  </si>
  <si>
    <t>Estudiantes: convivencia escolar</t>
  </si>
  <si>
    <t>Formación para un grupo de estudiantes de secundaria (aprox. 25 alumnos), 4 horas en total</t>
  </si>
  <si>
    <t>Miguel Hidalgo y Costilla</t>
  </si>
  <si>
    <t>Cartulinas</t>
  </si>
  <si>
    <t>Papelotes</t>
  </si>
  <si>
    <t>Líquido para limpiar pizarrones</t>
  </si>
  <si>
    <t>Marcadores</t>
  </si>
  <si>
    <t>Material de aseo</t>
  </si>
  <si>
    <t>Material de aseo/botes de basura</t>
  </si>
  <si>
    <t>Sillas para maestros</t>
  </si>
  <si>
    <t>Salud material</t>
  </si>
  <si>
    <t>Silla de ruedas/andadera</t>
  </si>
  <si>
    <t>Contactos de pared</t>
  </si>
  <si>
    <t>Estudiantes: desarrollo de valores</t>
  </si>
  <si>
    <t>Formación de 2 horas para cada grupo de la escuela primaria (6 grupos)</t>
  </si>
  <si>
    <t>Estudiantes: prevención de uso de droga</t>
  </si>
  <si>
    <t>Formación de 3 horas para cada grupo (4) de 5° y 6°</t>
  </si>
  <si>
    <t>Estudiantes: proyecto de vida</t>
  </si>
  <si>
    <t>Estudiantes: hábitos de higiene y nutrición</t>
  </si>
  <si>
    <t>Docentes: valores y conducta</t>
  </si>
  <si>
    <t>Docentes: resolución de conflictos</t>
  </si>
  <si>
    <t>Familias: valores y conducta</t>
  </si>
  <si>
    <t>Familias: hábitos de higiene y nutrición</t>
  </si>
  <si>
    <t>Salud psicológica</t>
  </si>
  <si>
    <t>Psicóloga para manejo de emociones</t>
  </si>
  <si>
    <t>Sesiones</t>
  </si>
  <si>
    <t>San Pedro Tlaquepaque</t>
  </si>
  <si>
    <t>Antonio de Caso Peralta</t>
  </si>
  <si>
    <t>Material tecnológico</t>
  </si>
  <si>
    <t>Proyectores</t>
  </si>
  <si>
    <t>Copiadora</t>
  </si>
  <si>
    <t>Persianas</t>
  </si>
  <si>
    <t>Metros</t>
  </si>
  <si>
    <t>Metro para cada salón (4 salones)</t>
  </si>
  <si>
    <t>Grupos</t>
  </si>
  <si>
    <t>Estudiantes: proyecto de vida (bajo interés por el estudio)</t>
  </si>
  <si>
    <t>Estudiantes: Convivencia escolar y valores</t>
  </si>
  <si>
    <t>Docentes: proyecto de vida (bajo interés por el estudio)</t>
  </si>
  <si>
    <t>Docentes: prevención de violencia, conducta</t>
  </si>
  <si>
    <t>Docentes: autocuidado</t>
  </si>
  <si>
    <t>Docentes: manejo socioemocional</t>
  </si>
  <si>
    <t>Lázaro Cárdenas</t>
  </si>
  <si>
    <t>Prevención de abuso sexual</t>
  </si>
  <si>
    <t>Docentes: detección y atención a estudiantes con BAP</t>
  </si>
  <si>
    <t>Material estudiantes: proyecto de vida (alebrijes)</t>
  </si>
  <si>
    <t>Servicio</t>
  </si>
  <si>
    <t>Libros infantiles</t>
  </si>
  <si>
    <t>Comedores (pequeños)</t>
  </si>
  <si>
    <t>Estudiantes: manejo de emociones, convivencia y valores</t>
  </si>
  <si>
    <t>Familias: manejo de emociones</t>
  </si>
  <si>
    <t>Docentes: manejo de emociones (herramientas para el trabajo de emociones con estudiantes)</t>
  </si>
  <si>
    <t>Visita extraescolar educativa</t>
  </si>
  <si>
    <t>Transporte para visita extraescolar (proyecto de vida, manejo de emociones)</t>
  </si>
  <si>
    <t>Camiones</t>
  </si>
  <si>
    <t>Bases para televisiones</t>
  </si>
  <si>
    <t>Para televisores de 55 pulgadas</t>
  </si>
  <si>
    <t>Urbana 1098</t>
  </si>
  <si>
    <t>Estudiantes: prevención de adicciones</t>
  </si>
  <si>
    <t>Docentes: proyecto de vida</t>
  </si>
  <si>
    <t>Docentes: valores y convivencia escolar (considerarse como seguimiento a cultura de paz)</t>
  </si>
  <si>
    <t>Familias: prevención de adicciones</t>
  </si>
  <si>
    <t>Servicio de mantenimiento</t>
  </si>
  <si>
    <t>Fumigación en canchas y jardines</t>
  </si>
  <si>
    <t>Juegos de geometría para maestros</t>
  </si>
  <si>
    <t>Lotería</t>
  </si>
  <si>
    <t>Serpientes y escaleras</t>
  </si>
  <si>
    <t>Canicas</t>
  </si>
  <si>
    <t>Uno</t>
  </si>
  <si>
    <t>Dominó</t>
  </si>
  <si>
    <t>Ajedrez</t>
  </si>
  <si>
    <t>Memorama</t>
  </si>
  <si>
    <t>Jenga</t>
  </si>
  <si>
    <t>Matatena y palillos chinos</t>
  </si>
  <si>
    <t>Baraja</t>
  </si>
  <si>
    <t>Adivina quién</t>
  </si>
  <si>
    <t>Estudiantes: valores y convivencia escolar</t>
  </si>
  <si>
    <t>Docentes: manejo de emociones</t>
  </si>
  <si>
    <t>Transporte para visita extraescolar</t>
  </si>
  <si>
    <t>Ventanas</t>
  </si>
  <si>
    <t>Plafón</t>
  </si>
  <si>
    <t>Cloro</t>
  </si>
  <si>
    <t>Pinol</t>
  </si>
  <si>
    <t>Fabuloso</t>
  </si>
  <si>
    <t>Escobas</t>
  </si>
  <si>
    <t>Trapeadores</t>
  </si>
  <si>
    <t>Recogedores</t>
  </si>
  <si>
    <t>Zapopan</t>
  </si>
  <si>
    <t>Carlos de Icaza</t>
  </si>
  <si>
    <t>Libros infantil</t>
  </si>
  <si>
    <t>Transporte</t>
  </si>
  <si>
    <t>Portabicicletas</t>
  </si>
  <si>
    <t>Estudiantes: valores y convivencia</t>
  </si>
  <si>
    <t>Estudiantes: planeación familiar</t>
  </si>
  <si>
    <t>Lentes alumna</t>
  </si>
  <si>
    <t>Jornadas de salud física</t>
  </si>
  <si>
    <t>Galvatecho de 6 m de largo, de 1 1/2 pulgadas de espesor</t>
  </si>
  <si>
    <t>Montenes de fierro (vigas) de 5 pulgadas calibre 14</t>
  </si>
  <si>
    <t>Tornillos de 3 pulgadas para galva techo con empaque de hule</t>
  </si>
  <si>
    <t>Arena amarilla: 1 viaje 7 m cúbicos (para enjarre y firme)</t>
  </si>
  <si>
    <t xml:space="preserve"> </t>
  </si>
  <si>
    <t>1 tonelada y media de mortero (para enjarre y firme)</t>
  </si>
  <si>
    <t>Jal para firme 3 metros cúbicos (para firme)</t>
  </si>
  <si>
    <t>Media tonelada de cemento (para firme)</t>
  </si>
  <si>
    <t xml:space="preserve">Piso de cerámica (para dentro de la cocina) </t>
  </si>
  <si>
    <t>Sacos de pegapiso</t>
  </si>
  <si>
    <t>Saco de junteador</t>
  </si>
  <si>
    <t>Puerta de 90 cm</t>
  </si>
  <si>
    <t>Ventana de 2.10 m</t>
  </si>
  <si>
    <t>Ventanas de 1 m</t>
  </si>
  <si>
    <t>Marcadores para pizarron</t>
  </si>
  <si>
    <t>Reloj de pared</t>
  </si>
  <si>
    <t>Pizarron grande (1.20x2.40)</t>
  </si>
  <si>
    <t>Cinta masking tape</t>
  </si>
  <si>
    <t>Engrapadoras</t>
  </si>
  <si>
    <t>Grapas</t>
  </si>
  <si>
    <t>Plastilina</t>
  </si>
  <si>
    <t>Tinta para impresora</t>
  </si>
  <si>
    <t>Pintura dactil escolar</t>
  </si>
  <si>
    <t>Fomis de colores</t>
  </si>
  <si>
    <t>Tijeras grandes</t>
  </si>
  <si>
    <t>Pilas recargables (doble A)</t>
  </si>
  <si>
    <t>Papel de china</t>
  </si>
  <si>
    <t>Papel crepé</t>
  </si>
  <si>
    <t>Tinta para sellos</t>
  </si>
  <si>
    <t>Papel imprenta</t>
  </si>
  <si>
    <t>Cinta doble cara</t>
  </si>
  <si>
    <t>Cubre hojas</t>
  </si>
  <si>
    <t>Tablas de madera</t>
  </si>
  <si>
    <t>Arenas máginas</t>
  </si>
  <si>
    <t>Regletas de colores</t>
  </si>
  <si>
    <t>Juegos de geometría (grandes)</t>
  </si>
  <si>
    <t>Juego microscopio</t>
  </si>
  <si>
    <t>Juegos Mi alegría (química)</t>
  </si>
  <si>
    <t>Balones de basketball</t>
  </si>
  <si>
    <t>Balones de futbol</t>
  </si>
  <si>
    <t>Pelotas</t>
  </si>
  <si>
    <t>Aros grandes</t>
  </si>
  <si>
    <t>Pelotitas de colores</t>
  </si>
  <si>
    <t>Estudiantes: prevención de uso de drogas</t>
  </si>
  <si>
    <t>Familias: prevención de uso de drogas</t>
  </si>
  <si>
    <t>Familias, estudiantes (agregado) y docentes: prevención de suicidio</t>
  </si>
  <si>
    <t>Mínimo 2 horas por grupo (3 grupos de aprox. 20 estudiantes)</t>
  </si>
  <si>
    <t>Sesión de 2-4 horas, para familias y docentes (aprox. 15 personas)</t>
  </si>
  <si>
    <t>Botes de basura para exterior</t>
  </si>
  <si>
    <t>Botes de basura para interior</t>
  </si>
  <si>
    <t>Programa de Office para 1 computadora</t>
  </si>
  <si>
    <t>Psicóloga: diagnóstico de BAP y violencia</t>
  </si>
  <si>
    <t>Movilidad para centro dif Santa Lucía para apoyo en aprendizaje de operaciones</t>
  </si>
  <si>
    <t>Justo Sierra</t>
  </si>
  <si>
    <t>Cubetas de pintura</t>
  </si>
  <si>
    <t>Pintura exterior de salones</t>
  </si>
  <si>
    <t>Estudiantes: valor y convivencia escolar</t>
  </si>
  <si>
    <t>Familias: crianza</t>
  </si>
  <si>
    <t>Jornadas de salud</t>
  </si>
  <si>
    <t>Ventiladores (de pared)</t>
  </si>
  <si>
    <t>Ventiladores (de techo)</t>
  </si>
  <si>
    <t>Construcción servicio</t>
  </si>
  <si>
    <t xml:space="preserve">Arreglo de pisos (material y mano de obra) </t>
  </si>
  <si>
    <t>61 azulejos de diferente medida</t>
  </si>
  <si>
    <t>Barrera de contención</t>
  </si>
  <si>
    <t>Estudiantes: educación sexual</t>
  </si>
  <si>
    <t>Sesiones de 2 horas por grupo (15 grupos)</t>
  </si>
  <si>
    <t>Docentes y familias: patrulla escolar</t>
  </si>
  <si>
    <t>Familias: educación sexual</t>
  </si>
  <si>
    <t>Sesión de 1 hora con cada grupo (15 grupos)</t>
  </si>
  <si>
    <t>Bodega montable para educación física</t>
  </si>
  <si>
    <t>Arreglo de chapas</t>
  </si>
  <si>
    <t>Arreglo de ventanas</t>
  </si>
  <si>
    <t>Docentes: convivencia escolar</t>
  </si>
  <si>
    <t>Las Mesitas</t>
  </si>
  <si>
    <t>Cisterna y firme</t>
  </si>
  <si>
    <t>Impermeabilizar (preescolar)</t>
  </si>
  <si>
    <t>Arreglo de sanitarios (eléctrico, puertas, impermeabilizar, tazas de baño)</t>
  </si>
  <si>
    <t>Luces de salones</t>
  </si>
  <si>
    <t>Reflectores</t>
  </si>
  <si>
    <t>Red de porterías</t>
  </si>
  <si>
    <t>Juego infantiles</t>
  </si>
  <si>
    <t>Aljibe/tinaco preescolar</t>
  </si>
  <si>
    <t>Estudiantes S: Prevención de violencia</t>
  </si>
  <si>
    <t>S: secundaria</t>
  </si>
  <si>
    <t>Estudiantes S: Prevención de embarazo adolescente</t>
  </si>
  <si>
    <t>Estudiantes S: Socioemocional</t>
  </si>
  <si>
    <t>Toldo para comedores (s)</t>
  </si>
  <si>
    <t>Comedores chicos</t>
  </si>
  <si>
    <t>Comedores grandes</t>
  </si>
  <si>
    <t>Extintor</t>
  </si>
  <si>
    <t>Juegos didácticos (preescolar)</t>
  </si>
  <si>
    <t>Servicio tecnológico</t>
  </si>
  <si>
    <t>Arreglo de computadoras</t>
  </si>
  <si>
    <t>Biodigestor</t>
  </si>
  <si>
    <t>Protecciones (secundaria)</t>
  </si>
  <si>
    <t>Mesabancos</t>
  </si>
  <si>
    <t>Piso (secundaria)</t>
  </si>
  <si>
    <t>Marcadores para pizarrón</t>
  </si>
  <si>
    <t>Crayolas</t>
  </si>
  <si>
    <t>Cinta transparente (gruesa)</t>
  </si>
  <si>
    <t>Pinceles (para dos grupos P)</t>
  </si>
  <si>
    <t>Pinturas para uso de estudiantes o acuarelas</t>
  </si>
  <si>
    <t>Plastilina o arena moldeable</t>
  </si>
  <si>
    <t>Cartulinas o papelotes</t>
  </si>
  <si>
    <t>Marcadores para alumnos</t>
  </si>
  <si>
    <t>Cuadernos (4 de cuadro grande y 4 de raya, X2)</t>
  </si>
  <si>
    <t>Tóners (uno para cada nivel) (se tomó foto de la caja del cartucho)</t>
  </si>
  <si>
    <t>Balones de fútbol</t>
  </si>
  <si>
    <t>Balón de basketbol</t>
  </si>
  <si>
    <t>Sogas para jalar</t>
  </si>
  <si>
    <t>Aros</t>
  </si>
  <si>
    <t>Escaleras de piso</t>
  </si>
  <si>
    <t>La Reserva</t>
  </si>
  <si>
    <t>Alambrado perimetral</t>
  </si>
  <si>
    <t>Instalación de llave</t>
  </si>
  <si>
    <t>Jornadas de salud (en Las Cuevas)</t>
  </si>
  <si>
    <t>Enjarre (dentro y fuera) y pintura</t>
  </si>
  <si>
    <t>División de baños y bajar lavabo</t>
  </si>
  <si>
    <t>Piso</t>
  </si>
  <si>
    <t>Porterías de fútbol</t>
  </si>
  <si>
    <t>Bancas</t>
  </si>
  <si>
    <t>Impermeabilizante</t>
  </si>
  <si>
    <t>Filtros de agua (quizás)</t>
  </si>
  <si>
    <t>Bodega montable (ver posibilidad)</t>
  </si>
  <si>
    <t>Escalón</t>
  </si>
  <si>
    <t>Bicicletas</t>
  </si>
  <si>
    <t>Computadoras para personal</t>
  </si>
  <si>
    <t>Comedor grande</t>
  </si>
  <si>
    <t>Comedor chico</t>
  </si>
  <si>
    <t>Proyector</t>
  </si>
  <si>
    <t>Impresora</t>
  </si>
  <si>
    <t>Libros en náhuatl</t>
  </si>
  <si>
    <t>Libros informativos (enciclopedias)</t>
  </si>
  <si>
    <t>Ventiladores de techo o pared</t>
  </si>
  <si>
    <t>Estudiantes: Prevención de violencia</t>
  </si>
  <si>
    <t>Familias: Primeros auxilios</t>
  </si>
  <si>
    <t>Docentes: Primeros auxilios</t>
  </si>
  <si>
    <t>Instalación eléctrica para ventiladores</t>
  </si>
  <si>
    <t>Persianas/cortineros</t>
  </si>
  <si>
    <t>Sogas (para brincar)</t>
  </si>
  <si>
    <t>Sogas (para jalar)</t>
  </si>
  <si>
    <t>Balones de voleibol</t>
  </si>
  <si>
    <t>Pelotas de plástico</t>
  </si>
  <si>
    <t>Legos</t>
  </si>
  <si>
    <t>Twister</t>
  </si>
  <si>
    <t>Memoramas</t>
  </si>
  <si>
    <t>Fichas (letras y números de plástico)</t>
  </si>
  <si>
    <t>Bloques geométricos</t>
  </si>
  <si>
    <t>Loterías</t>
  </si>
  <si>
    <t>Manuel M Cerna</t>
  </si>
  <si>
    <t>Ventiladores</t>
  </si>
  <si>
    <t>Extensiones</t>
  </si>
  <si>
    <t>Instalación eléctrica</t>
  </si>
  <si>
    <t>Mesas para computadoras</t>
  </si>
  <si>
    <t>Pintura</t>
  </si>
  <si>
    <t>Malla sombra de segundo patio</t>
  </si>
  <si>
    <t>Comedor (grande)</t>
  </si>
  <si>
    <t>Comedor (chicho)</t>
  </si>
  <si>
    <t>Mesas para primaria menor</t>
  </si>
  <si>
    <t>Sillas para primaria menor</t>
  </si>
  <si>
    <t>Sillas para el personal</t>
  </si>
  <si>
    <t>Sombra en primer patio (lonaria)</t>
  </si>
  <si>
    <t>Instalación de postes para lonaria</t>
  </si>
  <si>
    <t>Impermeabilizar (cubetas)</t>
  </si>
  <si>
    <t>Convivencia escolar (estudiantes)</t>
  </si>
  <si>
    <t>Anaquel</t>
  </si>
  <si>
    <t>Laptops para el personal</t>
  </si>
  <si>
    <t>Arreglo de sonido de internet</t>
  </si>
  <si>
    <t>Arreglo de puertas</t>
  </si>
  <si>
    <t>Papelotes (se usan mucho)</t>
  </si>
  <si>
    <t>Colores</t>
  </si>
  <si>
    <t>Tijeras (maestra)</t>
  </si>
  <si>
    <t>Margarita Maza de Juárez</t>
  </si>
  <si>
    <t>Docentes: recomendaciones de atención psicológica (psicoeducación para trastornos en el aula)</t>
  </si>
  <si>
    <t>Familias: bienestar emocional</t>
  </si>
  <si>
    <t>Familias: crianza positiva (continuidad)</t>
  </si>
  <si>
    <t>Cambio de tapa de escritorios de maestros</t>
  </si>
  <si>
    <t>Instalación de proyectores</t>
  </si>
  <si>
    <t>Balones y bombas, redes de porterías</t>
  </si>
  <si>
    <t>Pintura de gradas</t>
  </si>
  <si>
    <t>Cableado de cámaras de seguridad</t>
  </si>
  <si>
    <t>Pintura para barandales</t>
  </si>
  <si>
    <t>Bodegas montables (para clases abajo, sino revisar)</t>
  </si>
  <si>
    <t>Docentes: control y manejo de emociones (1, herramientas)</t>
  </si>
  <si>
    <t>Docentes: valores y convivencia (3)</t>
  </si>
  <si>
    <t>Docentes: primeros auxilios (2)</t>
  </si>
  <si>
    <t>Estudiantes: proyecto de vida (3)</t>
  </si>
  <si>
    <t>Estudiantes: abuso sexual infantil (2)</t>
  </si>
  <si>
    <t>Estudiantes: prevención de adicciones (1)</t>
  </si>
  <si>
    <t>Psicóloga: manejo de emociones (focalizado</t>
  </si>
  <si>
    <t>Pieza</t>
  </si>
  <si>
    <t>Arreglo de barda con alambrado caído</t>
  </si>
  <si>
    <t>Regletas</t>
  </si>
  <si>
    <t>Qubits</t>
  </si>
  <si>
    <t>DATOS DE ESCUELAS</t>
  </si>
  <si>
    <t>CICLO 2025-2026</t>
  </si>
  <si>
    <t>Plantel</t>
  </si>
  <si>
    <t>Personal escolar</t>
  </si>
  <si>
    <t>Estudiantes</t>
  </si>
  <si>
    <t>Nivel ed.</t>
  </si>
  <si>
    <t>CCT</t>
  </si>
  <si>
    <t>Modalidad</t>
  </si>
  <si>
    <t>Turno</t>
  </si>
  <si>
    <t>Sostenimiento</t>
  </si>
  <si>
    <t>Dirección</t>
  </si>
  <si>
    <t>Ubicación</t>
  </si>
  <si>
    <t>Francisco Rojas González</t>
  </si>
  <si>
    <t>Primaria</t>
  </si>
  <si>
    <t>14EPR1614C</t>
  </si>
  <si>
    <t>SEP-Multigrado</t>
  </si>
  <si>
    <t>Matutino</t>
  </si>
  <si>
    <t>Estatal</t>
  </si>
  <si>
    <t>Desconocido, Llano Grande, CP 47198</t>
  </si>
  <si>
    <t>https://maps.app.goo.gl/jyZ4fChtbgVMrBZH8</t>
  </si>
  <si>
    <t>Secundaria</t>
  </si>
  <si>
    <t>14KTV0408X</t>
  </si>
  <si>
    <t>CONAFE</t>
  </si>
  <si>
    <t>Federal</t>
  </si>
  <si>
    <t>Los aguirres de arriba, s/n, 47000</t>
  </si>
  <si>
    <t>https://maps.app.goo.gl/XvZzMtZRRCjrUJv27</t>
  </si>
  <si>
    <t>14DPR1702Y</t>
  </si>
  <si>
    <t>SEP-General</t>
  </si>
  <si>
    <t>Santa Cecilia, 47013 San Juan de los Lagos, Jal.</t>
  </si>
  <si>
    <t xml:space="preserve">https://goo.gl/maps/qLgcz1XDMbQyCdez6 </t>
  </si>
  <si>
    <t>14DPR3313V</t>
  </si>
  <si>
    <t>Vespertino</t>
  </si>
  <si>
    <t>Sin número, Nueva Santa María, San Pedro Tlaquepaque</t>
  </si>
  <si>
    <t>https://www.google.com/maps?q=20.6061277,-103.3763599</t>
  </si>
  <si>
    <t>14EPR1467J</t>
  </si>
  <si>
    <t>Lázaro Cárdenas #28, Los Santibáñez, 45620 San Pedro Tlaquepaque, Jal.</t>
  </si>
  <si>
    <t>https://maps.app.goo.gl/4Uj3m6i4abEhs7L2A</t>
  </si>
  <si>
    <t>Urbana 1097</t>
  </si>
  <si>
    <t>14EPR0145U</t>
  </si>
  <si>
    <t>Miguel Hidalgo #203, Emiliano Zapata, 45638 San Pedro Tlaquepaque, Jal.</t>
  </si>
  <si>
    <t>https://goo.gl/maps/9tLJL1qJMeAjXjsx9</t>
  </si>
  <si>
    <t>Las Cuevas</t>
  </si>
  <si>
    <t>Carlos de Icaza (primaria)</t>
  </si>
  <si>
    <t>14DPR4183Z</t>
  </si>
  <si>
    <t>Camino a las Cuevas, Sin número, Resplandor del Rayo, Zapopan</t>
  </si>
  <si>
    <t>https://maps.app.goo.gl/KSKzkvKDpLMo5eRi9?g_st=iw</t>
  </si>
  <si>
    <t>Preescolar Comunitario Cuevas</t>
  </si>
  <si>
    <t>Preescolar</t>
  </si>
  <si>
    <t>14KJN2189Z</t>
  </si>
  <si>
    <t>Secundaria Comunitaria Cuevas</t>
  </si>
  <si>
    <t>14KTV0274Y</t>
  </si>
  <si>
    <t>14DPR0060O</t>
  </si>
  <si>
    <t>Federalizado</t>
  </si>
  <si>
    <t>Agustín Melgar 1509, prados Santa Lucia, Zapopan, Jalisco</t>
  </si>
  <si>
    <t>https://maps.app.goo.gl/LnystBsvg6Y16AuY6</t>
  </si>
  <si>
    <t>Las Mesitas (P) Guadalupe Victoria</t>
  </si>
  <si>
    <t>14KJN1164J</t>
  </si>
  <si>
    <t>Paseo de las Galeanas, s/n, Las Mesitas, 45200</t>
  </si>
  <si>
    <t>https://maps.app.goo.gl/njPkciZaSWZcwQTg9</t>
  </si>
  <si>
    <t>Las Mesitas (S)  Guadalupe Victoria</t>
  </si>
  <si>
    <t>14KTVO382F</t>
  </si>
  <si>
    <t>La Reserva (Pre)</t>
  </si>
  <si>
    <t>14KPR1665U</t>
  </si>
  <si>
    <t>Sin nombre conocido, Santa Lucía, 45200</t>
  </si>
  <si>
    <t>https://maps.app.goo.gl/fT1CgLiiCS7ZUcU27</t>
  </si>
  <si>
    <t>La Reserva (Pri)</t>
  </si>
  <si>
    <t>14DPR1588W</t>
  </si>
  <si>
    <t>San Antonio, Sin número, Ex Hacienda del Lazo, CP 45205</t>
  </si>
  <si>
    <t>https://maps.app.goo.gl/aEP6ysbRdDveaXGY8?g_st=am</t>
  </si>
  <si>
    <t>Margarita Maza de Juarez</t>
  </si>
  <si>
    <t>14DPR2324U</t>
  </si>
  <si>
    <t>C. Felipe Ángeles, 45205 San Esteban, Jal.</t>
  </si>
  <si>
    <t>https://maps.app.goo.gl/zhipcjRnsZm4bkAc8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</si>
</sst>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0">
    <font>
      <sz val="10.0"/>
      <color rgb="FF000000"/>
      <name val="Arial"/>
      <scheme val="minor"/>
    </font>
    <font>
      <color theme="1"/>
      <name val="Montserrat"/>
    </font>
    <font>
      <b/>
      <color rgb="FF259D63"/>
      <name val="Montserrat"/>
    </font>
    <font>
      <color rgb="FFFFFFFF"/>
      <name val="Montserrat"/>
    </font>
    <font>
      <color theme="1"/>
      <name val="Arial"/>
    </font>
    <font>
      <b/>
      <color theme="1"/>
      <name val="Montserrat"/>
    </font>
    <font>
      <sz val="11.0"/>
      <color rgb="FFFFFFFF"/>
      <name val="Montserrat"/>
    </font>
    <font>
      <u/>
      <color rgb="FF1155CC"/>
      <name val="Montserrat"/>
    </font>
    <font>
      <u/>
      <color rgb="FF1155CC"/>
      <name val="Montserrat"/>
    </font>
    <font>
      <u/>
      <color rgb="FF0000FF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259D63"/>
        <bgColor rgb="FF259D63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2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readingOrder="0" shrinkToFit="0" vertical="bottom" wrapText="0"/>
    </xf>
    <xf borderId="1" fillId="5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salba Gascón Perez" id="{6437c9f7-4741-4b0c-b3b4-213b504f883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6" dT="2026-02-27T18:22:38.00" personId="{6437c9f7-4741-4b0c-b3b4-213b504f8836}" id="{e3b681c7-32fe-4acf-bf14-947ac065e0f4}" done="0">
    <x18tc:text xml:space="preserve">Estas dos están en un mismo plantel</x18tc:text>
  </x18tc:threadedComment>
  <x18tc:threadedComment ref="D12" dT="2026-02-27T18:22:02.00" personId="{6437c9f7-4741-4b0c-b3b4-213b504f8836}" id="{e396cc24-5adf-4205-962b-b6ae94a98b88}" done="0">
    <x18tc:text xml:space="preserve">Estas tres están en un mismo plantel</x18tc:text>
  </x18tc:threadedComment>
  <x18tc:threadedComment ref="D18" dT="2026-02-27T18:22:49.00" personId="{6437c9f7-4741-4b0c-b3b4-213b504f8836}" id="{feaa1967-c456-4655-8ba2-1a325ce02b85}" done="0">
    <x18tc:text xml:space="preserve">Estas dos están en un mismo plantel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maps.app.goo.gl/KSKzkvKDpLMo5eRi9?g_st=iw" TargetMode="External"/><Relationship Id="rId10" Type="http://schemas.openxmlformats.org/officeDocument/2006/relationships/hyperlink" Target="https://maps.app.goo.gl/KSKzkvKDpLMo5eRi9?g_st=iw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maps.app.goo.gl/LnystBsvg6Y16AuY6" TargetMode="External"/><Relationship Id="rId12" Type="http://schemas.openxmlformats.org/officeDocument/2006/relationships/hyperlink" Target="https://maps.app.goo.gl/KSKzkvKDpLMo5eRi9?g_st=iw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jyZ4fChtbgVMrBZH8" TargetMode="External"/><Relationship Id="rId9" Type="http://schemas.openxmlformats.org/officeDocument/2006/relationships/hyperlink" Target="https://goo.gl/maps/9tLJL1qJMeAjXjsx9" TargetMode="External"/><Relationship Id="rId15" Type="http://schemas.openxmlformats.org/officeDocument/2006/relationships/hyperlink" Target="https://maps.app.goo.gl/njPkciZaSWZcwQTg9" TargetMode="External"/><Relationship Id="rId14" Type="http://schemas.openxmlformats.org/officeDocument/2006/relationships/hyperlink" Target="https://maps.app.goo.gl/njPkciZaSWZcwQTg9" TargetMode="External"/><Relationship Id="rId17" Type="http://schemas.openxmlformats.org/officeDocument/2006/relationships/hyperlink" Target="https://maps.app.goo.gl/fT1CgLiiCS7ZUcU27" TargetMode="External"/><Relationship Id="rId16" Type="http://schemas.openxmlformats.org/officeDocument/2006/relationships/hyperlink" Target="https://maps.app.goo.gl/fT1CgLiiCS7ZUcU27" TargetMode="External"/><Relationship Id="rId5" Type="http://schemas.openxmlformats.org/officeDocument/2006/relationships/hyperlink" Target="https://maps.app.goo.gl/XvZzMtZRRCjrUJv27" TargetMode="External"/><Relationship Id="rId19" Type="http://schemas.openxmlformats.org/officeDocument/2006/relationships/hyperlink" Target="https://maps.app.goo.gl/zhipcjRnsZm4bkAc8" TargetMode="External"/><Relationship Id="rId6" Type="http://schemas.openxmlformats.org/officeDocument/2006/relationships/hyperlink" Target="https://goo.gl/maps/qLgcz1XDMbQyCdez6" TargetMode="External"/><Relationship Id="rId18" Type="http://schemas.openxmlformats.org/officeDocument/2006/relationships/hyperlink" Target="https://maps.app.goo.gl/aEP6ysbRdDveaXGY8?g_st=am" TargetMode="External"/><Relationship Id="rId7" Type="http://schemas.openxmlformats.org/officeDocument/2006/relationships/hyperlink" Target="https://www.google.com/maps?q=20.6061277,-103.3763599" TargetMode="External"/><Relationship Id="rId8" Type="http://schemas.openxmlformats.org/officeDocument/2006/relationships/hyperlink" Target="https://maps.app.goo.gl/4Uj3m6i4abEhs7L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75"/>
    <col customWidth="1" min="3" max="3" width="13.88"/>
    <col customWidth="1" min="4" max="4" width="13.38"/>
    <col customWidth="1" min="5" max="5" width="24.38"/>
    <col customWidth="1" min="8" max="8" width="16.0"/>
    <col customWidth="1" min="9" max="9" width="1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6" t="s">
        <v>7</v>
      </c>
      <c r="I4" s="7" t="s">
        <v>8</v>
      </c>
      <c r="J4" s="8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>
        <v>5.0</v>
      </c>
      <c r="H5" s="9" t="s">
        <v>15</v>
      </c>
      <c r="I5" s="9" t="s">
        <v>16</v>
      </c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9" t="s">
        <v>10</v>
      </c>
      <c r="C6" s="9" t="s">
        <v>11</v>
      </c>
      <c r="D6" s="9" t="s">
        <v>17</v>
      </c>
      <c r="E6" s="9" t="s">
        <v>18</v>
      </c>
      <c r="F6" s="9" t="s">
        <v>19</v>
      </c>
      <c r="G6" s="9">
        <v>7.0</v>
      </c>
      <c r="H6" s="9" t="s">
        <v>15</v>
      </c>
      <c r="I6" s="9" t="s">
        <v>16</v>
      </c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9" t="s">
        <v>10</v>
      </c>
      <c r="C7" s="9" t="s">
        <v>11</v>
      </c>
      <c r="D7" s="9" t="s">
        <v>17</v>
      </c>
      <c r="E7" s="9" t="s">
        <v>18</v>
      </c>
      <c r="F7" s="9" t="s">
        <v>20</v>
      </c>
      <c r="G7" s="9">
        <v>3.0</v>
      </c>
      <c r="H7" s="9" t="s">
        <v>15</v>
      </c>
      <c r="I7" s="9" t="s">
        <v>21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9" t="s">
        <v>10</v>
      </c>
      <c r="C8" s="9" t="s">
        <v>11</v>
      </c>
      <c r="D8" s="9" t="s">
        <v>17</v>
      </c>
      <c r="E8" s="9" t="s">
        <v>18</v>
      </c>
      <c r="F8" s="9" t="s">
        <v>22</v>
      </c>
      <c r="G8" s="9">
        <v>2.0</v>
      </c>
      <c r="H8" s="9" t="s">
        <v>15</v>
      </c>
      <c r="I8" s="9" t="s">
        <v>21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9" t="s">
        <v>10</v>
      </c>
      <c r="C9" s="9" t="s">
        <v>11</v>
      </c>
      <c r="D9" s="9" t="s">
        <v>17</v>
      </c>
      <c r="E9" s="9" t="s">
        <v>18</v>
      </c>
      <c r="F9" s="9" t="s">
        <v>23</v>
      </c>
      <c r="G9" s="9">
        <v>1.0</v>
      </c>
      <c r="H9" s="9" t="s">
        <v>15</v>
      </c>
      <c r="I9" s="9" t="s">
        <v>21</v>
      </c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9" t="s">
        <v>10</v>
      </c>
      <c r="C10" s="9" t="s">
        <v>11</v>
      </c>
      <c r="D10" s="9" t="s">
        <v>17</v>
      </c>
      <c r="E10" s="9" t="s">
        <v>18</v>
      </c>
      <c r="F10" s="9" t="s">
        <v>24</v>
      </c>
      <c r="G10" s="9">
        <v>10.0</v>
      </c>
      <c r="H10" s="9" t="s">
        <v>25</v>
      </c>
      <c r="I10" s="9" t="s">
        <v>21</v>
      </c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9" t="s">
        <v>10</v>
      </c>
      <c r="C11" s="9" t="s">
        <v>11</v>
      </c>
      <c r="D11" s="9" t="s">
        <v>12</v>
      </c>
      <c r="E11" s="9" t="s">
        <v>26</v>
      </c>
      <c r="F11" s="9" t="s">
        <v>27</v>
      </c>
      <c r="G11" s="9">
        <v>40.0</v>
      </c>
      <c r="H11" s="9" t="s">
        <v>15</v>
      </c>
      <c r="I11" s="9" t="s">
        <v>16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9" t="s">
        <v>10</v>
      </c>
      <c r="C12" s="9" t="s">
        <v>11</v>
      </c>
      <c r="D12" s="9" t="s">
        <v>12</v>
      </c>
      <c r="E12" s="9" t="s">
        <v>26</v>
      </c>
      <c r="F12" s="9" t="s">
        <v>28</v>
      </c>
      <c r="G12" s="9">
        <v>8.0</v>
      </c>
      <c r="H12" s="9" t="s">
        <v>15</v>
      </c>
      <c r="I12" s="9" t="s">
        <v>21</v>
      </c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9" t="s">
        <v>10</v>
      </c>
      <c r="C13" s="9" t="s">
        <v>11</v>
      </c>
      <c r="D13" s="9" t="s">
        <v>12</v>
      </c>
      <c r="E13" s="9" t="s">
        <v>26</v>
      </c>
      <c r="F13" s="9" t="s">
        <v>29</v>
      </c>
      <c r="G13" s="9">
        <v>6.0</v>
      </c>
      <c r="H13" s="9" t="s">
        <v>15</v>
      </c>
      <c r="I13" s="9" t="s">
        <v>21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9" t="s">
        <v>10</v>
      </c>
      <c r="C14" s="9" t="s">
        <v>11</v>
      </c>
      <c r="D14" s="9" t="s">
        <v>12</v>
      </c>
      <c r="E14" s="9" t="s">
        <v>26</v>
      </c>
      <c r="F14" s="9" t="s">
        <v>30</v>
      </c>
      <c r="G14" s="9">
        <v>30.0</v>
      </c>
      <c r="H14" s="9" t="s">
        <v>15</v>
      </c>
      <c r="I14" s="9" t="s">
        <v>21</v>
      </c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9" t="s">
        <v>10</v>
      </c>
      <c r="C15" s="9" t="s">
        <v>11</v>
      </c>
      <c r="D15" s="9" t="s">
        <v>12</v>
      </c>
      <c r="E15" s="9" t="s">
        <v>26</v>
      </c>
      <c r="F15" s="9" t="s">
        <v>31</v>
      </c>
      <c r="G15" s="9">
        <v>100.0</v>
      </c>
      <c r="H15" s="9" t="s">
        <v>15</v>
      </c>
      <c r="I15" s="9" t="s">
        <v>21</v>
      </c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9" t="s">
        <v>10</v>
      </c>
      <c r="C16" s="9" t="s">
        <v>11</v>
      </c>
      <c r="D16" s="9" t="s">
        <v>12</v>
      </c>
      <c r="E16" s="9" t="s">
        <v>26</v>
      </c>
      <c r="F16" s="9" t="s">
        <v>32</v>
      </c>
      <c r="G16" s="9">
        <v>24.0</v>
      </c>
      <c r="H16" s="9" t="s">
        <v>15</v>
      </c>
      <c r="I16" s="9" t="s">
        <v>21</v>
      </c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9" t="s">
        <v>10</v>
      </c>
      <c r="C17" s="9" t="s">
        <v>11</v>
      </c>
      <c r="D17" s="9" t="s">
        <v>17</v>
      </c>
      <c r="E17" s="9" t="s">
        <v>18</v>
      </c>
      <c r="F17" s="9" t="s">
        <v>33</v>
      </c>
      <c r="G17" s="9">
        <v>6.0</v>
      </c>
      <c r="H17" s="9" t="s">
        <v>34</v>
      </c>
      <c r="I17" s="9" t="s">
        <v>16</v>
      </c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9" t="s">
        <v>10</v>
      </c>
      <c r="C18" s="9" t="s">
        <v>11</v>
      </c>
      <c r="D18" s="9" t="s">
        <v>17</v>
      </c>
      <c r="E18" s="9" t="s">
        <v>18</v>
      </c>
      <c r="F18" s="9" t="s">
        <v>35</v>
      </c>
      <c r="G18" s="9">
        <v>1.0</v>
      </c>
      <c r="H18" s="9" t="s">
        <v>15</v>
      </c>
      <c r="I18" s="9" t="s">
        <v>16</v>
      </c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9" t="s">
        <v>10</v>
      </c>
      <c r="C19" s="9" t="s">
        <v>11</v>
      </c>
      <c r="D19" s="9" t="s">
        <v>17</v>
      </c>
      <c r="E19" s="9" t="s">
        <v>18</v>
      </c>
      <c r="F19" s="9" t="s">
        <v>36</v>
      </c>
      <c r="G19" s="9">
        <v>709.0</v>
      </c>
      <c r="H19" s="9" t="s">
        <v>15</v>
      </c>
      <c r="I19" s="9" t="s">
        <v>16</v>
      </c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9" t="s">
        <v>10</v>
      </c>
      <c r="C20" s="9" t="s">
        <v>11</v>
      </c>
      <c r="D20" s="9" t="s">
        <v>17</v>
      </c>
      <c r="E20" s="9" t="s">
        <v>18</v>
      </c>
      <c r="F20" s="9" t="s">
        <v>37</v>
      </c>
      <c r="G20" s="9">
        <v>6.0</v>
      </c>
      <c r="H20" s="9" t="s">
        <v>15</v>
      </c>
      <c r="I20" s="9" t="s">
        <v>16</v>
      </c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9" t="s">
        <v>10</v>
      </c>
      <c r="C21" s="9" t="s">
        <v>11</v>
      </c>
      <c r="D21" s="9" t="s">
        <v>17</v>
      </c>
      <c r="E21" s="9" t="s">
        <v>18</v>
      </c>
      <c r="F21" s="9" t="s">
        <v>38</v>
      </c>
      <c r="G21" s="9">
        <v>2.0</v>
      </c>
      <c r="H21" s="9" t="s">
        <v>39</v>
      </c>
      <c r="I21" s="9" t="s">
        <v>16</v>
      </c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9" t="s">
        <v>10</v>
      </c>
      <c r="C22" s="9" t="s">
        <v>11</v>
      </c>
      <c r="D22" s="9" t="s">
        <v>17</v>
      </c>
      <c r="E22" s="9" t="s">
        <v>18</v>
      </c>
      <c r="F22" s="9" t="s">
        <v>40</v>
      </c>
      <c r="G22" s="9">
        <v>46054.0</v>
      </c>
      <c r="H22" s="9" t="s">
        <v>41</v>
      </c>
      <c r="I22" s="9" t="s">
        <v>16</v>
      </c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9" t="s">
        <v>10</v>
      </c>
      <c r="C23" s="9" t="s">
        <v>11</v>
      </c>
      <c r="D23" s="9" t="s">
        <v>17</v>
      </c>
      <c r="E23" s="9" t="s">
        <v>18</v>
      </c>
      <c r="F23" s="9" t="s">
        <v>42</v>
      </c>
      <c r="G23" s="9">
        <v>46054.0</v>
      </c>
      <c r="H23" s="9" t="s">
        <v>41</v>
      </c>
      <c r="I23" s="9" t="s">
        <v>16</v>
      </c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9" t="s">
        <v>10</v>
      </c>
      <c r="C24" s="9" t="s">
        <v>11</v>
      </c>
      <c r="D24" s="9" t="s">
        <v>17</v>
      </c>
      <c r="E24" s="9" t="s">
        <v>18</v>
      </c>
      <c r="F24" s="9" t="s">
        <v>43</v>
      </c>
      <c r="G24" s="9">
        <v>2.0</v>
      </c>
      <c r="H24" s="9" t="s">
        <v>15</v>
      </c>
      <c r="I24" s="9" t="s">
        <v>21</v>
      </c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9" t="s">
        <v>10</v>
      </c>
      <c r="C25" s="9" t="s">
        <v>11</v>
      </c>
      <c r="D25" s="9" t="s">
        <v>17</v>
      </c>
      <c r="E25" s="9" t="s">
        <v>18</v>
      </c>
      <c r="F25" s="9" t="s">
        <v>44</v>
      </c>
      <c r="G25" s="9">
        <v>2.0</v>
      </c>
      <c r="H25" s="9" t="s">
        <v>15</v>
      </c>
      <c r="I25" s="9" t="s">
        <v>21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9" t="s">
        <v>10</v>
      </c>
      <c r="C26" s="9" t="s">
        <v>11</v>
      </c>
      <c r="D26" s="9" t="s">
        <v>17</v>
      </c>
      <c r="E26" s="9" t="s">
        <v>18</v>
      </c>
      <c r="F26" s="9" t="s">
        <v>45</v>
      </c>
      <c r="G26" s="9">
        <v>23.0</v>
      </c>
      <c r="H26" s="9" t="s">
        <v>46</v>
      </c>
      <c r="I26" s="9" t="s">
        <v>16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9" t="s">
        <v>10</v>
      </c>
      <c r="C27" s="9" t="s">
        <v>11</v>
      </c>
      <c r="D27" s="9" t="s">
        <v>17</v>
      </c>
      <c r="E27" s="9" t="s">
        <v>18</v>
      </c>
      <c r="F27" s="9" t="s">
        <v>47</v>
      </c>
      <c r="G27" s="9">
        <v>6.0</v>
      </c>
      <c r="H27" s="9" t="s">
        <v>15</v>
      </c>
      <c r="I27" s="9" t="s">
        <v>16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9" t="s">
        <v>10</v>
      </c>
      <c r="C28" s="9" t="s">
        <v>11</v>
      </c>
      <c r="D28" s="9" t="s">
        <v>17</v>
      </c>
      <c r="E28" s="9" t="s">
        <v>18</v>
      </c>
      <c r="F28" s="9" t="s">
        <v>48</v>
      </c>
      <c r="G28" s="9">
        <v>1.0</v>
      </c>
      <c r="H28" s="9" t="s">
        <v>15</v>
      </c>
      <c r="I28" s="9" t="s">
        <v>16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9" t="s">
        <v>10</v>
      </c>
      <c r="C29" s="9" t="s">
        <v>11</v>
      </c>
      <c r="D29" s="9" t="s">
        <v>49</v>
      </c>
      <c r="E29" s="9" t="s">
        <v>50</v>
      </c>
      <c r="F29" s="9" t="s">
        <v>51</v>
      </c>
      <c r="G29" s="9">
        <v>6.0</v>
      </c>
      <c r="H29" s="9" t="s">
        <v>52</v>
      </c>
      <c r="I29" s="9" t="s">
        <v>21</v>
      </c>
      <c r="J29" s="10" t="s">
        <v>53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9" t="s">
        <v>10</v>
      </c>
      <c r="C30" s="9" t="s">
        <v>11</v>
      </c>
      <c r="D30" s="9" t="s">
        <v>49</v>
      </c>
      <c r="E30" s="9" t="s">
        <v>54</v>
      </c>
      <c r="F30" s="9" t="s">
        <v>55</v>
      </c>
      <c r="G30" s="9">
        <v>3.0</v>
      </c>
      <c r="H30" s="9" t="s">
        <v>52</v>
      </c>
      <c r="I30" s="9" t="s">
        <v>21</v>
      </c>
      <c r="J30" s="10" t="s">
        <v>56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9" t="s">
        <v>10</v>
      </c>
      <c r="C31" s="9" t="s">
        <v>11</v>
      </c>
      <c r="D31" s="9" t="s">
        <v>49</v>
      </c>
      <c r="E31" s="9" t="s">
        <v>57</v>
      </c>
      <c r="F31" s="9" t="s">
        <v>58</v>
      </c>
      <c r="G31" s="9">
        <v>12.0</v>
      </c>
      <c r="H31" s="9" t="s">
        <v>52</v>
      </c>
      <c r="I31" s="9" t="s">
        <v>21</v>
      </c>
      <c r="J31" s="10" t="s">
        <v>59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9" t="s">
        <v>10</v>
      </c>
      <c r="C32" s="9" t="s">
        <v>11</v>
      </c>
      <c r="D32" s="9" t="s">
        <v>49</v>
      </c>
      <c r="E32" s="9" t="s">
        <v>50</v>
      </c>
      <c r="F32" s="9" t="s">
        <v>60</v>
      </c>
      <c r="G32" s="9">
        <v>4.0</v>
      </c>
      <c r="H32" s="9" t="s">
        <v>52</v>
      </c>
      <c r="I32" s="9" t="s">
        <v>16</v>
      </c>
      <c r="J32" s="1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9" t="s">
        <v>10</v>
      </c>
      <c r="C33" s="9" t="s">
        <v>11</v>
      </c>
      <c r="D33" s="9" t="s">
        <v>49</v>
      </c>
      <c r="E33" s="9" t="s">
        <v>54</v>
      </c>
      <c r="F33" s="9" t="s">
        <v>61</v>
      </c>
      <c r="G33" s="9">
        <v>3.0</v>
      </c>
      <c r="H33" s="9" t="s">
        <v>52</v>
      </c>
      <c r="I33" s="9" t="s">
        <v>16</v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9" t="s">
        <v>10</v>
      </c>
      <c r="C34" s="9" t="s">
        <v>11</v>
      </c>
      <c r="D34" s="9" t="s">
        <v>49</v>
      </c>
      <c r="E34" s="9" t="s">
        <v>50</v>
      </c>
      <c r="F34" s="9" t="s">
        <v>62</v>
      </c>
      <c r="G34" s="9">
        <v>2.0</v>
      </c>
      <c r="H34" s="9" t="s">
        <v>52</v>
      </c>
      <c r="I34" s="9" t="s">
        <v>16</v>
      </c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9" t="s">
        <v>63</v>
      </c>
      <c r="C35" s="9" t="s">
        <v>64</v>
      </c>
      <c r="D35" s="9" t="s">
        <v>12</v>
      </c>
      <c r="E35" s="9" t="s">
        <v>65</v>
      </c>
      <c r="F35" s="9" t="s">
        <v>66</v>
      </c>
      <c r="G35" s="9">
        <v>10.0</v>
      </c>
      <c r="H35" s="9" t="s">
        <v>67</v>
      </c>
      <c r="I35" s="9" t="s">
        <v>21</v>
      </c>
      <c r="J35" s="2" t="s">
        <v>68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9" t="s">
        <v>63</v>
      </c>
      <c r="C36" s="9" t="s">
        <v>64</v>
      </c>
      <c r="D36" s="9" t="s">
        <v>12</v>
      </c>
      <c r="E36" s="9" t="s">
        <v>65</v>
      </c>
      <c r="F36" s="9" t="s">
        <v>69</v>
      </c>
      <c r="G36" s="9">
        <v>5.0</v>
      </c>
      <c r="H36" s="9" t="s">
        <v>67</v>
      </c>
      <c r="I36" s="9" t="s">
        <v>70</v>
      </c>
      <c r="J36" s="2" t="s">
        <v>71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9" t="s">
        <v>63</v>
      </c>
      <c r="C37" s="9" t="s">
        <v>64</v>
      </c>
      <c r="D37" s="9" t="s">
        <v>12</v>
      </c>
      <c r="E37" s="9" t="s">
        <v>65</v>
      </c>
      <c r="F37" s="9" t="s">
        <v>72</v>
      </c>
      <c r="G37" s="9">
        <v>10.0</v>
      </c>
      <c r="H37" s="9" t="s">
        <v>67</v>
      </c>
      <c r="I37" s="9" t="s">
        <v>16</v>
      </c>
      <c r="J37" s="2" t="s">
        <v>73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9" t="s">
        <v>63</v>
      </c>
      <c r="C38" s="9" t="s">
        <v>64</v>
      </c>
      <c r="D38" s="9" t="s">
        <v>12</v>
      </c>
      <c r="E38" s="9" t="s">
        <v>65</v>
      </c>
      <c r="F38" s="9" t="s">
        <v>74</v>
      </c>
      <c r="G38" s="9">
        <v>1.0</v>
      </c>
      <c r="H38" s="9" t="s">
        <v>67</v>
      </c>
      <c r="I38" s="9" t="s">
        <v>16</v>
      </c>
      <c r="J38" s="2" t="s">
        <v>75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9" t="s">
        <v>63</v>
      </c>
      <c r="C39" s="9" t="s">
        <v>64</v>
      </c>
      <c r="D39" s="9" t="s">
        <v>12</v>
      </c>
      <c r="E39" s="9" t="s">
        <v>65</v>
      </c>
      <c r="F39" s="9" t="s">
        <v>76</v>
      </c>
      <c r="G39" s="9">
        <v>3.0</v>
      </c>
      <c r="H39" s="9" t="s">
        <v>67</v>
      </c>
      <c r="I39" s="9" t="s">
        <v>21</v>
      </c>
      <c r="J39" s="2" t="s">
        <v>77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9" t="s">
        <v>63</v>
      </c>
      <c r="C40" s="9" t="s">
        <v>64</v>
      </c>
      <c r="D40" s="9" t="s">
        <v>12</v>
      </c>
      <c r="E40" s="9" t="s">
        <v>65</v>
      </c>
      <c r="F40" s="9" t="s">
        <v>78</v>
      </c>
      <c r="G40" s="9">
        <v>1.0</v>
      </c>
      <c r="H40" s="9" t="s">
        <v>67</v>
      </c>
      <c r="I40" s="9" t="s">
        <v>16</v>
      </c>
      <c r="J40" s="2" t="s">
        <v>79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9" t="s">
        <v>63</v>
      </c>
      <c r="C41" s="9" t="s">
        <v>64</v>
      </c>
      <c r="D41" s="9" t="s">
        <v>12</v>
      </c>
      <c r="E41" s="9" t="s">
        <v>65</v>
      </c>
      <c r="F41" s="9" t="s">
        <v>80</v>
      </c>
      <c r="G41" s="9">
        <v>1.0</v>
      </c>
      <c r="H41" s="9" t="s">
        <v>67</v>
      </c>
      <c r="I41" s="9" t="s">
        <v>16</v>
      </c>
      <c r="J41" s="2" t="s">
        <v>81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9" t="s">
        <v>63</v>
      </c>
      <c r="C42" s="9" t="s">
        <v>64</v>
      </c>
      <c r="D42" s="9" t="s">
        <v>12</v>
      </c>
      <c r="E42" s="9" t="s">
        <v>65</v>
      </c>
      <c r="F42" s="9" t="s">
        <v>82</v>
      </c>
      <c r="G42" s="9">
        <v>1.0</v>
      </c>
      <c r="H42" s="9" t="s">
        <v>67</v>
      </c>
      <c r="I42" s="9" t="s">
        <v>21</v>
      </c>
      <c r="J42" s="2" t="s">
        <v>73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9" t="s">
        <v>63</v>
      </c>
      <c r="C43" s="9" t="s">
        <v>64</v>
      </c>
      <c r="D43" s="9" t="s">
        <v>12</v>
      </c>
      <c r="E43" s="9" t="s">
        <v>65</v>
      </c>
      <c r="F43" s="9" t="s">
        <v>83</v>
      </c>
      <c r="G43" s="9">
        <v>1.0</v>
      </c>
      <c r="H43" s="9" t="s">
        <v>67</v>
      </c>
      <c r="I43" s="9" t="s">
        <v>16</v>
      </c>
      <c r="J43" s="2" t="s">
        <v>84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9" t="s">
        <v>63</v>
      </c>
      <c r="C44" s="9" t="s">
        <v>64</v>
      </c>
      <c r="D44" s="9" t="s">
        <v>12</v>
      </c>
      <c r="E44" s="9" t="s">
        <v>26</v>
      </c>
      <c r="F44" s="9" t="s">
        <v>85</v>
      </c>
      <c r="G44" s="9">
        <v>3.0</v>
      </c>
      <c r="H44" s="9" t="s">
        <v>15</v>
      </c>
      <c r="I44" s="9" t="s">
        <v>21</v>
      </c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9" t="s">
        <v>63</v>
      </c>
      <c r="C45" s="9" t="s">
        <v>64</v>
      </c>
      <c r="D45" s="9" t="s">
        <v>12</v>
      </c>
      <c r="E45" s="9" t="s">
        <v>26</v>
      </c>
      <c r="F45" s="9" t="s">
        <v>86</v>
      </c>
      <c r="G45" s="9">
        <v>1.0</v>
      </c>
      <c r="H45" s="9" t="s">
        <v>15</v>
      </c>
      <c r="I45" s="9" t="s">
        <v>21</v>
      </c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9" t="s">
        <v>63</v>
      </c>
      <c r="C46" s="9" t="s">
        <v>64</v>
      </c>
      <c r="D46" s="9" t="s">
        <v>12</v>
      </c>
      <c r="E46" s="9" t="s">
        <v>26</v>
      </c>
      <c r="F46" s="9" t="s">
        <v>87</v>
      </c>
      <c r="G46" s="9">
        <v>2.0</v>
      </c>
      <c r="H46" s="9" t="s">
        <v>15</v>
      </c>
      <c r="I46" s="9" t="s">
        <v>21</v>
      </c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9" t="s">
        <v>63</v>
      </c>
      <c r="C47" s="9" t="s">
        <v>64</v>
      </c>
      <c r="D47" s="9" t="s">
        <v>12</v>
      </c>
      <c r="E47" s="9" t="s">
        <v>26</v>
      </c>
      <c r="F47" s="9" t="s">
        <v>32</v>
      </c>
      <c r="G47" s="9">
        <v>1.0</v>
      </c>
      <c r="H47" s="9" t="s">
        <v>67</v>
      </c>
      <c r="I47" s="9" t="s">
        <v>21</v>
      </c>
      <c r="J47" s="2" t="s">
        <v>88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9" t="s">
        <v>63</v>
      </c>
      <c r="C48" s="9" t="s">
        <v>64</v>
      </c>
      <c r="D48" s="9" t="s">
        <v>12</v>
      </c>
      <c r="E48" s="9" t="s">
        <v>26</v>
      </c>
      <c r="F48" s="9" t="s">
        <v>89</v>
      </c>
      <c r="G48" s="9">
        <v>1.0</v>
      </c>
      <c r="H48" s="9" t="s">
        <v>67</v>
      </c>
      <c r="I48" s="9" t="s">
        <v>21</v>
      </c>
      <c r="J48" s="2" t="s">
        <v>90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9" t="s">
        <v>63</v>
      </c>
      <c r="C49" s="9" t="s">
        <v>64</v>
      </c>
      <c r="D49" s="9" t="s">
        <v>12</v>
      </c>
      <c r="E49" s="9" t="s">
        <v>26</v>
      </c>
      <c r="F49" s="9" t="s">
        <v>91</v>
      </c>
      <c r="G49" s="9">
        <v>1.0</v>
      </c>
      <c r="H49" s="9" t="s">
        <v>15</v>
      </c>
      <c r="I49" s="9" t="s">
        <v>21</v>
      </c>
      <c r="J49" s="2" t="s">
        <v>92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9" t="s">
        <v>63</v>
      </c>
      <c r="C50" s="9" t="s">
        <v>64</v>
      </c>
      <c r="D50" s="9" t="s">
        <v>12</v>
      </c>
      <c r="E50" s="9" t="s">
        <v>26</v>
      </c>
      <c r="F50" s="9" t="s">
        <v>93</v>
      </c>
      <c r="G50" s="9">
        <v>1.0</v>
      </c>
      <c r="H50" s="9" t="s">
        <v>67</v>
      </c>
      <c r="I50" s="9" t="s">
        <v>21</v>
      </c>
      <c r="J50" s="2" t="s">
        <v>75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9" t="s">
        <v>63</v>
      </c>
      <c r="C51" s="9" t="s">
        <v>64</v>
      </c>
      <c r="D51" s="9" t="s">
        <v>12</v>
      </c>
      <c r="E51" s="9" t="s">
        <v>94</v>
      </c>
      <c r="F51" s="9" t="s">
        <v>95</v>
      </c>
      <c r="G51" s="9">
        <v>10.0</v>
      </c>
      <c r="H51" s="9" t="s">
        <v>15</v>
      </c>
      <c r="I51" s="9" t="s">
        <v>21</v>
      </c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9" t="s">
        <v>63</v>
      </c>
      <c r="C52" s="9" t="s">
        <v>64</v>
      </c>
      <c r="D52" s="9" t="s">
        <v>12</v>
      </c>
      <c r="E52" s="9" t="s">
        <v>94</v>
      </c>
      <c r="F52" s="9" t="s">
        <v>96</v>
      </c>
      <c r="G52" s="9">
        <v>8.0</v>
      </c>
      <c r="H52" s="9" t="s">
        <v>15</v>
      </c>
      <c r="I52" s="9" t="s">
        <v>21</v>
      </c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9" t="s">
        <v>63</v>
      </c>
      <c r="C53" s="9" t="s">
        <v>64</v>
      </c>
      <c r="D53" s="9" t="s">
        <v>12</v>
      </c>
      <c r="E53" s="9" t="s">
        <v>97</v>
      </c>
      <c r="F53" s="9" t="s">
        <v>98</v>
      </c>
      <c r="G53" s="9">
        <v>4.0</v>
      </c>
      <c r="H53" s="9" t="s">
        <v>15</v>
      </c>
      <c r="I53" s="9" t="s">
        <v>70</v>
      </c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9" t="s">
        <v>63</v>
      </c>
      <c r="C54" s="9" t="s">
        <v>64</v>
      </c>
      <c r="D54" s="9" t="s">
        <v>12</v>
      </c>
      <c r="E54" s="9" t="s">
        <v>99</v>
      </c>
      <c r="F54" s="9" t="s">
        <v>100</v>
      </c>
      <c r="G54" s="9">
        <v>16.0</v>
      </c>
      <c r="H54" s="9" t="s">
        <v>15</v>
      </c>
      <c r="I54" s="9" t="s">
        <v>21</v>
      </c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9" t="s">
        <v>63</v>
      </c>
      <c r="C55" s="9" t="s">
        <v>64</v>
      </c>
      <c r="D55" s="9" t="s">
        <v>12</v>
      </c>
      <c r="E55" s="9" t="s">
        <v>99</v>
      </c>
      <c r="F55" s="9" t="s">
        <v>101</v>
      </c>
      <c r="G55" s="9">
        <v>8.0</v>
      </c>
      <c r="H55" s="9" t="s">
        <v>15</v>
      </c>
      <c r="I55" s="9" t="s">
        <v>21</v>
      </c>
      <c r="J55" s="10" t="s">
        <v>102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9" t="s">
        <v>63</v>
      </c>
      <c r="C56" s="9" t="s">
        <v>64</v>
      </c>
      <c r="D56" s="9" t="s">
        <v>12</v>
      </c>
      <c r="E56" s="9" t="s">
        <v>99</v>
      </c>
      <c r="F56" s="9" t="s">
        <v>103</v>
      </c>
      <c r="G56" s="9">
        <v>2.0</v>
      </c>
      <c r="H56" s="9" t="s">
        <v>15</v>
      </c>
      <c r="I56" s="9" t="s">
        <v>21</v>
      </c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9" t="s">
        <v>63</v>
      </c>
      <c r="C57" s="9" t="s">
        <v>64</v>
      </c>
      <c r="D57" s="9" t="s">
        <v>12</v>
      </c>
      <c r="E57" s="9" t="s">
        <v>99</v>
      </c>
      <c r="F57" s="9" t="s">
        <v>104</v>
      </c>
      <c r="G57" s="9">
        <v>2.0</v>
      </c>
      <c r="H57" s="9" t="s">
        <v>15</v>
      </c>
      <c r="I57" s="9" t="s">
        <v>21</v>
      </c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9" t="s">
        <v>63</v>
      </c>
      <c r="C58" s="9" t="s">
        <v>64</v>
      </c>
      <c r="D58" s="9" t="s">
        <v>12</v>
      </c>
      <c r="E58" s="9" t="s">
        <v>99</v>
      </c>
      <c r="F58" s="9" t="s">
        <v>105</v>
      </c>
      <c r="G58" s="9">
        <v>5.0</v>
      </c>
      <c r="H58" s="9" t="s">
        <v>15</v>
      </c>
      <c r="I58" s="9" t="s">
        <v>16</v>
      </c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9" t="s">
        <v>63</v>
      </c>
      <c r="C59" s="9" t="s">
        <v>64</v>
      </c>
      <c r="D59" s="9" t="s">
        <v>12</v>
      </c>
      <c r="E59" s="9" t="s">
        <v>99</v>
      </c>
      <c r="F59" s="9" t="s">
        <v>106</v>
      </c>
      <c r="G59" s="9">
        <v>3.0</v>
      </c>
      <c r="H59" s="9" t="s">
        <v>15</v>
      </c>
      <c r="I59" s="9" t="s">
        <v>21</v>
      </c>
      <c r="J59" s="10" t="s">
        <v>107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9" t="s">
        <v>63</v>
      </c>
      <c r="C60" s="9" t="s">
        <v>64</v>
      </c>
      <c r="D60" s="9" t="s">
        <v>12</v>
      </c>
      <c r="E60" s="9" t="s">
        <v>13</v>
      </c>
      <c r="F60" s="9" t="s">
        <v>108</v>
      </c>
      <c r="G60" s="9">
        <v>2.0</v>
      </c>
      <c r="H60" s="9" t="s">
        <v>15</v>
      </c>
      <c r="I60" s="9" t="s">
        <v>16</v>
      </c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9" t="s">
        <v>63</v>
      </c>
      <c r="C61" s="9" t="s">
        <v>64</v>
      </c>
      <c r="D61" s="9" t="s">
        <v>17</v>
      </c>
      <c r="E61" s="9" t="s">
        <v>109</v>
      </c>
      <c r="F61" s="9" t="s">
        <v>110</v>
      </c>
      <c r="G61" s="9">
        <v>4.0</v>
      </c>
      <c r="H61" s="9" t="s">
        <v>41</v>
      </c>
      <c r="I61" s="9" t="s">
        <v>21</v>
      </c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9" t="s">
        <v>63</v>
      </c>
      <c r="C62" s="9" t="s">
        <v>64</v>
      </c>
      <c r="D62" s="9" t="s">
        <v>17</v>
      </c>
      <c r="E62" s="9" t="s">
        <v>109</v>
      </c>
      <c r="F62" s="9" t="s">
        <v>111</v>
      </c>
      <c r="G62" s="9">
        <v>1.0</v>
      </c>
      <c r="H62" s="9" t="s">
        <v>41</v>
      </c>
      <c r="I62" s="9" t="s">
        <v>21</v>
      </c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9" t="s">
        <v>63</v>
      </c>
      <c r="C63" s="9" t="s">
        <v>64</v>
      </c>
      <c r="D63" s="9" t="s">
        <v>17</v>
      </c>
      <c r="E63" s="9" t="s">
        <v>109</v>
      </c>
      <c r="F63" s="9" t="s">
        <v>112</v>
      </c>
      <c r="G63" s="9">
        <v>2.0</v>
      </c>
      <c r="H63" s="9" t="s">
        <v>113</v>
      </c>
      <c r="I63" s="9" t="s">
        <v>21</v>
      </c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9" t="s">
        <v>63</v>
      </c>
      <c r="C64" s="9" t="s">
        <v>64</v>
      </c>
      <c r="D64" s="9" t="s">
        <v>17</v>
      </c>
      <c r="E64" s="9" t="s">
        <v>109</v>
      </c>
      <c r="F64" s="9" t="s">
        <v>114</v>
      </c>
      <c r="G64" s="9">
        <v>2.0</v>
      </c>
      <c r="H64" s="9" t="s">
        <v>113</v>
      </c>
      <c r="I64" s="9" t="s">
        <v>21</v>
      </c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9" t="s">
        <v>63</v>
      </c>
      <c r="C65" s="9" t="s">
        <v>64</v>
      </c>
      <c r="D65" s="9" t="s">
        <v>115</v>
      </c>
      <c r="E65" s="9" t="s">
        <v>116</v>
      </c>
      <c r="F65" s="9" t="s">
        <v>117</v>
      </c>
      <c r="G65" s="9">
        <v>1.0</v>
      </c>
      <c r="H65" s="9" t="s">
        <v>67</v>
      </c>
      <c r="I65" s="9" t="s">
        <v>21</v>
      </c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9" t="s">
        <v>63</v>
      </c>
      <c r="C66" s="9" t="s">
        <v>64</v>
      </c>
      <c r="D66" s="9" t="s">
        <v>49</v>
      </c>
      <c r="E66" s="9" t="s">
        <v>57</v>
      </c>
      <c r="F66" s="9" t="s">
        <v>118</v>
      </c>
      <c r="G66" s="9">
        <v>4.0</v>
      </c>
      <c r="H66" s="9" t="s">
        <v>52</v>
      </c>
      <c r="I66" s="9" t="s">
        <v>16</v>
      </c>
      <c r="J66" s="10" t="s">
        <v>119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9" t="s">
        <v>63</v>
      </c>
      <c r="C67" s="9" t="s">
        <v>64</v>
      </c>
      <c r="D67" s="9" t="s">
        <v>49</v>
      </c>
      <c r="E67" s="9" t="s">
        <v>57</v>
      </c>
      <c r="F67" s="9" t="s">
        <v>120</v>
      </c>
      <c r="G67" s="9">
        <v>4.0</v>
      </c>
      <c r="H67" s="9" t="s">
        <v>52</v>
      </c>
      <c r="I67" s="9" t="s">
        <v>16</v>
      </c>
      <c r="J67" s="10" t="s">
        <v>121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9" t="s">
        <v>63</v>
      </c>
      <c r="C68" s="9" t="s">
        <v>122</v>
      </c>
      <c r="D68" s="9" t="s">
        <v>12</v>
      </c>
      <c r="E68" s="9" t="s">
        <v>13</v>
      </c>
      <c r="F68" s="9" t="s">
        <v>14</v>
      </c>
      <c r="G68" s="9">
        <v>8.0</v>
      </c>
      <c r="H68" s="9" t="s">
        <v>15</v>
      </c>
      <c r="I68" s="9" t="s">
        <v>21</v>
      </c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9" t="s">
        <v>63</v>
      </c>
      <c r="C69" s="9" t="s">
        <v>122</v>
      </c>
      <c r="D69" s="9" t="s">
        <v>12</v>
      </c>
      <c r="E69" s="9" t="s">
        <v>65</v>
      </c>
      <c r="F69" s="9" t="s">
        <v>123</v>
      </c>
      <c r="G69" s="9">
        <v>200.0</v>
      </c>
      <c r="H69" s="9" t="s">
        <v>15</v>
      </c>
      <c r="I69" s="9" t="s">
        <v>16</v>
      </c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9" t="s">
        <v>63</v>
      </c>
      <c r="C70" s="9" t="s">
        <v>122</v>
      </c>
      <c r="D70" s="9" t="s">
        <v>12</v>
      </c>
      <c r="E70" s="9" t="s">
        <v>65</v>
      </c>
      <c r="F70" s="9" t="s">
        <v>124</v>
      </c>
      <c r="G70" s="9">
        <v>300.0</v>
      </c>
      <c r="H70" s="9" t="s">
        <v>15</v>
      </c>
      <c r="I70" s="9" t="s">
        <v>21</v>
      </c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9" t="s">
        <v>63</v>
      </c>
      <c r="C71" s="9" t="s">
        <v>122</v>
      </c>
      <c r="D71" s="9" t="s">
        <v>12</v>
      </c>
      <c r="E71" s="9" t="s">
        <v>65</v>
      </c>
      <c r="F71" s="9" t="s">
        <v>125</v>
      </c>
      <c r="G71" s="9">
        <v>12.0</v>
      </c>
      <c r="H71" s="9" t="s">
        <v>67</v>
      </c>
      <c r="I71" s="9" t="s">
        <v>21</v>
      </c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9" t="s">
        <v>63</v>
      </c>
      <c r="C72" s="9" t="s">
        <v>122</v>
      </c>
      <c r="D72" s="9" t="s">
        <v>12</v>
      </c>
      <c r="E72" s="9" t="s">
        <v>65</v>
      </c>
      <c r="F72" s="9" t="s">
        <v>126</v>
      </c>
      <c r="G72" s="9">
        <v>2.0</v>
      </c>
      <c r="H72" s="9" t="s">
        <v>67</v>
      </c>
      <c r="I72" s="9" t="s">
        <v>16</v>
      </c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9" t="s">
        <v>63</v>
      </c>
      <c r="C73" s="9" t="s">
        <v>122</v>
      </c>
      <c r="D73" s="9" t="s">
        <v>12</v>
      </c>
      <c r="E73" s="9" t="s">
        <v>127</v>
      </c>
      <c r="F73" s="9" t="s">
        <v>128</v>
      </c>
      <c r="G73" s="9">
        <v>5.0</v>
      </c>
      <c r="H73" s="9" t="s">
        <v>15</v>
      </c>
      <c r="I73" s="9" t="s">
        <v>21</v>
      </c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9" t="s">
        <v>63</v>
      </c>
      <c r="C74" s="9" t="s">
        <v>122</v>
      </c>
      <c r="D74" s="9" t="s">
        <v>12</v>
      </c>
      <c r="E74" s="9" t="s">
        <v>99</v>
      </c>
      <c r="F74" s="9" t="s">
        <v>129</v>
      </c>
      <c r="G74" s="9">
        <v>12.0</v>
      </c>
      <c r="H74" s="9" t="s">
        <v>15</v>
      </c>
      <c r="I74" s="9" t="s">
        <v>21</v>
      </c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9" t="s">
        <v>63</v>
      </c>
      <c r="C75" s="9" t="s">
        <v>122</v>
      </c>
      <c r="D75" s="9" t="s">
        <v>115</v>
      </c>
      <c r="E75" s="9" t="s">
        <v>130</v>
      </c>
      <c r="F75" s="9" t="s">
        <v>131</v>
      </c>
      <c r="G75" s="9">
        <v>1.0</v>
      </c>
      <c r="H75" s="9" t="s">
        <v>15</v>
      </c>
      <c r="I75" s="9" t="s">
        <v>16</v>
      </c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9" t="s">
        <v>63</v>
      </c>
      <c r="C76" s="9" t="s">
        <v>122</v>
      </c>
      <c r="D76" s="9" t="s">
        <v>17</v>
      </c>
      <c r="E76" s="9" t="s">
        <v>18</v>
      </c>
      <c r="F76" s="9" t="s">
        <v>132</v>
      </c>
      <c r="G76" s="9">
        <f>2*14</f>
        <v>28</v>
      </c>
      <c r="H76" s="9" t="s">
        <v>15</v>
      </c>
      <c r="I76" s="9" t="s">
        <v>21</v>
      </c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9" t="s">
        <v>63</v>
      </c>
      <c r="C77" s="9" t="s">
        <v>122</v>
      </c>
      <c r="D77" s="9" t="s">
        <v>49</v>
      </c>
      <c r="E77" s="9" t="s">
        <v>57</v>
      </c>
      <c r="F77" s="9" t="s">
        <v>133</v>
      </c>
      <c r="G77" s="9">
        <f>2*6</f>
        <v>12</v>
      </c>
      <c r="H77" s="9" t="s">
        <v>52</v>
      </c>
      <c r="I77" s="9" t="s">
        <v>21</v>
      </c>
      <c r="J77" s="10" t="s">
        <v>134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9" t="s">
        <v>63</v>
      </c>
      <c r="C78" s="9" t="s">
        <v>122</v>
      </c>
      <c r="D78" s="9" t="s">
        <v>49</v>
      </c>
      <c r="E78" s="9" t="s">
        <v>57</v>
      </c>
      <c r="F78" s="9" t="s">
        <v>135</v>
      </c>
      <c r="G78" s="9">
        <f t="shared" ref="G78:G79" si="1">3*4</f>
        <v>12</v>
      </c>
      <c r="H78" s="9" t="s">
        <v>52</v>
      </c>
      <c r="I78" s="9" t="s">
        <v>21</v>
      </c>
      <c r="J78" s="10" t="s">
        <v>136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9" t="s">
        <v>63</v>
      </c>
      <c r="C79" s="9" t="s">
        <v>122</v>
      </c>
      <c r="D79" s="9" t="s">
        <v>49</v>
      </c>
      <c r="E79" s="9" t="s">
        <v>57</v>
      </c>
      <c r="F79" s="9" t="s">
        <v>137</v>
      </c>
      <c r="G79" s="9">
        <f t="shared" si="1"/>
        <v>12</v>
      </c>
      <c r="H79" s="9" t="s">
        <v>52</v>
      </c>
      <c r="I79" s="9" t="s">
        <v>21</v>
      </c>
      <c r="J79" s="10" t="s">
        <v>136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9" t="s">
        <v>63</v>
      </c>
      <c r="C80" s="9" t="s">
        <v>122</v>
      </c>
      <c r="D80" s="9" t="s">
        <v>49</v>
      </c>
      <c r="E80" s="9" t="s">
        <v>57</v>
      </c>
      <c r="F80" s="9" t="s">
        <v>138</v>
      </c>
      <c r="G80" s="9">
        <f>2*6</f>
        <v>12</v>
      </c>
      <c r="H80" s="9" t="s">
        <v>52</v>
      </c>
      <c r="I80" s="9" t="s">
        <v>21</v>
      </c>
      <c r="J80" s="10" t="s">
        <v>134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9" t="s">
        <v>63</v>
      </c>
      <c r="C81" s="9" t="s">
        <v>122</v>
      </c>
      <c r="D81" s="9" t="s">
        <v>49</v>
      </c>
      <c r="E81" s="9" t="s">
        <v>50</v>
      </c>
      <c r="F81" s="9" t="s">
        <v>139</v>
      </c>
      <c r="G81" s="9">
        <v>4.0</v>
      </c>
      <c r="H81" s="9" t="s">
        <v>52</v>
      </c>
      <c r="I81" s="9" t="s">
        <v>16</v>
      </c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9" t="s">
        <v>63</v>
      </c>
      <c r="C82" s="9" t="s">
        <v>122</v>
      </c>
      <c r="D82" s="9" t="s">
        <v>49</v>
      </c>
      <c r="E82" s="9" t="s">
        <v>50</v>
      </c>
      <c r="F82" s="9" t="s">
        <v>140</v>
      </c>
      <c r="G82" s="9">
        <v>3.0</v>
      </c>
      <c r="H82" s="9" t="s">
        <v>52</v>
      </c>
      <c r="I82" s="9" t="s">
        <v>16</v>
      </c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9" t="s">
        <v>63</v>
      </c>
      <c r="C83" s="9" t="s">
        <v>122</v>
      </c>
      <c r="D83" s="9" t="s">
        <v>49</v>
      </c>
      <c r="E83" s="9" t="s">
        <v>54</v>
      </c>
      <c r="F83" s="9" t="s">
        <v>141</v>
      </c>
      <c r="G83" s="9">
        <v>2.0</v>
      </c>
      <c r="H83" s="9" t="s">
        <v>52</v>
      </c>
      <c r="I83" s="9" t="s">
        <v>16</v>
      </c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9" t="s">
        <v>63</v>
      </c>
      <c r="C84" s="9" t="s">
        <v>122</v>
      </c>
      <c r="D84" s="9" t="s">
        <v>49</v>
      </c>
      <c r="E84" s="9" t="s">
        <v>54</v>
      </c>
      <c r="F84" s="9" t="s">
        <v>142</v>
      </c>
      <c r="G84" s="9">
        <v>2.0</v>
      </c>
      <c r="H84" s="9" t="s">
        <v>52</v>
      </c>
      <c r="I84" s="9" t="s">
        <v>21</v>
      </c>
      <c r="J84" s="10" t="s">
        <v>56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9" t="s">
        <v>63</v>
      </c>
      <c r="C85" s="9" t="s">
        <v>122</v>
      </c>
      <c r="D85" s="9" t="s">
        <v>115</v>
      </c>
      <c r="E85" s="9" t="s">
        <v>143</v>
      </c>
      <c r="F85" s="9" t="s">
        <v>144</v>
      </c>
      <c r="G85" s="9">
        <v>15.0</v>
      </c>
      <c r="H85" s="9" t="s">
        <v>145</v>
      </c>
      <c r="I85" s="9" t="s">
        <v>16</v>
      </c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9" t="s">
        <v>146</v>
      </c>
      <c r="C86" s="9" t="s">
        <v>147</v>
      </c>
      <c r="D86" s="9" t="s">
        <v>12</v>
      </c>
      <c r="E86" s="9" t="s">
        <v>148</v>
      </c>
      <c r="F86" s="9" t="s">
        <v>149</v>
      </c>
      <c r="G86" s="9">
        <v>4.0</v>
      </c>
      <c r="H86" s="9" t="s">
        <v>15</v>
      </c>
      <c r="I86" s="9" t="s">
        <v>21</v>
      </c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9" t="s">
        <v>146</v>
      </c>
      <c r="C87" s="9" t="s">
        <v>147</v>
      </c>
      <c r="D87" s="9" t="s">
        <v>12</v>
      </c>
      <c r="E87" s="9" t="s">
        <v>148</v>
      </c>
      <c r="F87" s="9" t="s">
        <v>150</v>
      </c>
      <c r="G87" s="9">
        <v>1.0</v>
      </c>
      <c r="H87" s="9" t="s">
        <v>15</v>
      </c>
      <c r="I87" s="9" t="s">
        <v>16</v>
      </c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9" t="s">
        <v>146</v>
      </c>
      <c r="C88" s="9" t="s">
        <v>147</v>
      </c>
      <c r="D88" s="9" t="s">
        <v>12</v>
      </c>
      <c r="E88" s="9" t="s">
        <v>18</v>
      </c>
      <c r="F88" s="9" t="s">
        <v>151</v>
      </c>
      <c r="G88" s="9">
        <v>24.0</v>
      </c>
      <c r="H88" s="9" t="s">
        <v>152</v>
      </c>
      <c r="I88" s="9" t="s">
        <v>21</v>
      </c>
      <c r="J88" s="10" t="s">
        <v>153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9" t="s">
        <v>146</v>
      </c>
      <c r="C89" s="9" t="s">
        <v>147</v>
      </c>
      <c r="D89" s="9" t="s">
        <v>12</v>
      </c>
      <c r="E89" s="9" t="s">
        <v>13</v>
      </c>
      <c r="F89" s="9" t="s">
        <v>14</v>
      </c>
      <c r="G89" s="9">
        <v>4.0</v>
      </c>
      <c r="H89" s="9" t="s">
        <v>15</v>
      </c>
      <c r="I89" s="9" t="s">
        <v>16</v>
      </c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9" t="s">
        <v>146</v>
      </c>
      <c r="C90" s="9" t="s">
        <v>147</v>
      </c>
      <c r="D90" s="9" t="s">
        <v>49</v>
      </c>
      <c r="E90" s="9" t="s">
        <v>57</v>
      </c>
      <c r="F90" s="9" t="s">
        <v>118</v>
      </c>
      <c r="G90" s="9">
        <v>2.0</v>
      </c>
      <c r="H90" s="9" t="s">
        <v>154</v>
      </c>
      <c r="I90" s="9" t="s">
        <v>16</v>
      </c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9" t="s">
        <v>146</v>
      </c>
      <c r="C91" s="9" t="s">
        <v>147</v>
      </c>
      <c r="D91" s="9" t="s">
        <v>49</v>
      </c>
      <c r="E91" s="9" t="s">
        <v>57</v>
      </c>
      <c r="F91" s="9" t="s">
        <v>155</v>
      </c>
      <c r="G91" s="9">
        <v>16.0</v>
      </c>
      <c r="H91" s="9" t="s">
        <v>52</v>
      </c>
      <c r="I91" s="9" t="s">
        <v>16</v>
      </c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9" t="s">
        <v>146</v>
      </c>
      <c r="C92" s="9" t="s">
        <v>147</v>
      </c>
      <c r="D92" s="9" t="s">
        <v>49</v>
      </c>
      <c r="E92" s="9" t="s">
        <v>57</v>
      </c>
      <c r="F92" s="9" t="s">
        <v>156</v>
      </c>
      <c r="G92" s="9">
        <v>33.0</v>
      </c>
      <c r="H92" s="9" t="s">
        <v>52</v>
      </c>
      <c r="I92" s="9" t="s">
        <v>16</v>
      </c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9" t="s">
        <v>146</v>
      </c>
      <c r="C93" s="9" t="s">
        <v>147</v>
      </c>
      <c r="D93" s="9" t="s">
        <v>49</v>
      </c>
      <c r="E93" s="9" t="s">
        <v>50</v>
      </c>
      <c r="F93" s="9" t="s">
        <v>157</v>
      </c>
      <c r="G93" s="9">
        <v>4.0</v>
      </c>
      <c r="H93" s="9" t="s">
        <v>52</v>
      </c>
      <c r="I93" s="9" t="s">
        <v>16</v>
      </c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9" t="s">
        <v>146</v>
      </c>
      <c r="C94" s="9" t="s">
        <v>147</v>
      </c>
      <c r="D94" s="9" t="s">
        <v>49</v>
      </c>
      <c r="E94" s="9" t="s">
        <v>50</v>
      </c>
      <c r="F94" s="9" t="s">
        <v>158</v>
      </c>
      <c r="G94" s="9">
        <v>4.0</v>
      </c>
      <c r="H94" s="9" t="s">
        <v>52</v>
      </c>
      <c r="I94" s="9" t="s">
        <v>16</v>
      </c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9" t="s">
        <v>146</v>
      </c>
      <c r="C95" s="9" t="s">
        <v>147</v>
      </c>
      <c r="D95" s="9" t="s">
        <v>49</v>
      </c>
      <c r="E95" s="9" t="s">
        <v>50</v>
      </c>
      <c r="F95" s="9" t="s">
        <v>159</v>
      </c>
      <c r="G95" s="11">
        <v>46145.0</v>
      </c>
      <c r="H95" s="9" t="s">
        <v>52</v>
      </c>
      <c r="I95" s="9" t="s">
        <v>16</v>
      </c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9" t="s">
        <v>146</v>
      </c>
      <c r="C96" s="9" t="s">
        <v>147</v>
      </c>
      <c r="D96" s="9" t="s">
        <v>49</v>
      </c>
      <c r="E96" s="9" t="s">
        <v>50</v>
      </c>
      <c r="F96" s="9" t="s">
        <v>160</v>
      </c>
      <c r="G96" s="9">
        <v>3.0</v>
      </c>
      <c r="H96" s="9" t="s">
        <v>52</v>
      </c>
      <c r="I96" s="9" t="s">
        <v>16</v>
      </c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9" t="s">
        <v>146</v>
      </c>
      <c r="C97" s="9" t="s">
        <v>161</v>
      </c>
      <c r="D97" s="9" t="s">
        <v>12</v>
      </c>
      <c r="E97" s="9" t="s">
        <v>13</v>
      </c>
      <c r="F97" s="9" t="s">
        <v>14</v>
      </c>
      <c r="G97" s="9">
        <v>9.0</v>
      </c>
      <c r="H97" s="9" t="s">
        <v>15</v>
      </c>
      <c r="I97" s="9" t="s">
        <v>16</v>
      </c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9" t="s">
        <v>146</v>
      </c>
      <c r="C98" s="9" t="s">
        <v>161</v>
      </c>
      <c r="D98" s="9" t="s">
        <v>49</v>
      </c>
      <c r="E98" s="9" t="s">
        <v>50</v>
      </c>
      <c r="F98" s="9" t="s">
        <v>162</v>
      </c>
      <c r="G98" s="9">
        <v>2.0</v>
      </c>
      <c r="H98" s="9" t="s">
        <v>52</v>
      </c>
      <c r="I98" s="9" t="s">
        <v>16</v>
      </c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9" t="s">
        <v>146</v>
      </c>
      <c r="C99" s="9" t="s">
        <v>161</v>
      </c>
      <c r="D99" s="9" t="s">
        <v>49</v>
      </c>
      <c r="E99" s="9" t="s">
        <v>57</v>
      </c>
      <c r="F99" s="9" t="s">
        <v>162</v>
      </c>
      <c r="G99" s="9">
        <v>12.0</v>
      </c>
      <c r="H99" s="9" t="s">
        <v>52</v>
      </c>
      <c r="I99" s="9" t="s">
        <v>16</v>
      </c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9" t="s">
        <v>146</v>
      </c>
      <c r="C100" s="9" t="s">
        <v>161</v>
      </c>
      <c r="D100" s="9" t="s">
        <v>49</v>
      </c>
      <c r="E100" s="9" t="s">
        <v>54</v>
      </c>
      <c r="F100" s="9" t="s">
        <v>162</v>
      </c>
      <c r="G100" s="9">
        <v>24.0</v>
      </c>
      <c r="H100" s="9" t="s">
        <v>52</v>
      </c>
      <c r="I100" s="9" t="s">
        <v>16</v>
      </c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9" t="s">
        <v>146</v>
      </c>
      <c r="C101" s="9" t="s">
        <v>161</v>
      </c>
      <c r="D101" s="9" t="s">
        <v>49</v>
      </c>
      <c r="E101" s="9" t="s">
        <v>50</v>
      </c>
      <c r="F101" s="9" t="s">
        <v>163</v>
      </c>
      <c r="G101" s="9">
        <v>4.0</v>
      </c>
      <c r="H101" s="9" t="s">
        <v>52</v>
      </c>
      <c r="I101" s="9" t="s">
        <v>16</v>
      </c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9" t="s">
        <v>146</v>
      </c>
      <c r="C102" s="9" t="s">
        <v>161</v>
      </c>
      <c r="D102" s="9" t="s">
        <v>12</v>
      </c>
      <c r="E102" s="9" t="s">
        <v>97</v>
      </c>
      <c r="F102" s="9" t="s">
        <v>164</v>
      </c>
      <c r="G102" s="9">
        <v>1.0</v>
      </c>
      <c r="H102" s="9" t="s">
        <v>165</v>
      </c>
      <c r="I102" s="9" t="s">
        <v>16</v>
      </c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9" t="s">
        <v>146</v>
      </c>
      <c r="C103" s="9" t="s">
        <v>161</v>
      </c>
      <c r="D103" s="9" t="s">
        <v>12</v>
      </c>
      <c r="E103" s="9" t="s">
        <v>94</v>
      </c>
      <c r="F103" s="9" t="s">
        <v>166</v>
      </c>
      <c r="G103" s="9">
        <v>100.0</v>
      </c>
      <c r="H103" s="9" t="s">
        <v>15</v>
      </c>
      <c r="I103" s="9" t="s">
        <v>16</v>
      </c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9" t="s">
        <v>146</v>
      </c>
      <c r="C104" s="9" t="s">
        <v>161</v>
      </c>
      <c r="D104" s="9" t="s">
        <v>12</v>
      </c>
      <c r="E104" s="9" t="s">
        <v>99</v>
      </c>
      <c r="F104" s="9" t="s">
        <v>167</v>
      </c>
      <c r="G104" s="9">
        <v>5.0</v>
      </c>
      <c r="H104" s="9" t="s">
        <v>15</v>
      </c>
      <c r="I104" s="9" t="s">
        <v>21</v>
      </c>
      <c r="J104" s="10" t="s">
        <v>107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9" t="s">
        <v>146</v>
      </c>
      <c r="C105" s="9" t="s">
        <v>161</v>
      </c>
      <c r="D105" s="9" t="s">
        <v>49</v>
      </c>
      <c r="E105" s="9" t="s">
        <v>57</v>
      </c>
      <c r="F105" s="9" t="s">
        <v>168</v>
      </c>
      <c r="G105" s="9">
        <v>4.0</v>
      </c>
      <c r="H105" s="9" t="s">
        <v>154</v>
      </c>
      <c r="I105" s="9" t="s">
        <v>16</v>
      </c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9" t="s">
        <v>146</v>
      </c>
      <c r="C106" s="9" t="s">
        <v>161</v>
      </c>
      <c r="D106" s="9" t="s">
        <v>49</v>
      </c>
      <c r="E106" s="9" t="s">
        <v>54</v>
      </c>
      <c r="F106" s="9" t="s">
        <v>169</v>
      </c>
      <c r="G106" s="9">
        <v>2.0</v>
      </c>
      <c r="H106" s="9" t="s">
        <v>52</v>
      </c>
      <c r="I106" s="9" t="s">
        <v>16</v>
      </c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9" t="s">
        <v>146</v>
      </c>
      <c r="C107" s="9" t="s">
        <v>161</v>
      </c>
      <c r="D107" s="9" t="s">
        <v>49</v>
      </c>
      <c r="E107" s="9" t="s">
        <v>50</v>
      </c>
      <c r="F107" s="9" t="s">
        <v>170</v>
      </c>
      <c r="G107" s="9">
        <v>4.0</v>
      </c>
      <c r="H107" s="9" t="s">
        <v>52</v>
      </c>
      <c r="I107" s="9" t="s">
        <v>16</v>
      </c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9" t="s">
        <v>146</v>
      </c>
      <c r="C108" s="9" t="s">
        <v>161</v>
      </c>
      <c r="D108" s="9" t="s">
        <v>49</v>
      </c>
      <c r="E108" s="9" t="s">
        <v>171</v>
      </c>
      <c r="F108" s="9" t="s">
        <v>172</v>
      </c>
      <c r="G108" s="9">
        <v>12.0</v>
      </c>
      <c r="H108" s="9" t="s">
        <v>173</v>
      </c>
      <c r="I108" s="9" t="s">
        <v>70</v>
      </c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9" t="s">
        <v>146</v>
      </c>
      <c r="C109" s="9" t="s">
        <v>161</v>
      </c>
      <c r="D109" s="9" t="s">
        <v>12</v>
      </c>
      <c r="E109" s="9" t="s">
        <v>148</v>
      </c>
      <c r="F109" s="9" t="s">
        <v>174</v>
      </c>
      <c r="G109" s="9">
        <v>4.0</v>
      </c>
      <c r="H109" s="9" t="s">
        <v>15</v>
      </c>
      <c r="I109" s="9" t="s">
        <v>21</v>
      </c>
      <c r="J109" s="10" t="s">
        <v>175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9" t="s">
        <v>146</v>
      </c>
      <c r="C110" s="9" t="s">
        <v>176</v>
      </c>
      <c r="D110" s="9" t="s">
        <v>49</v>
      </c>
      <c r="E110" s="9" t="s">
        <v>57</v>
      </c>
      <c r="F110" s="9" t="s">
        <v>177</v>
      </c>
      <c r="G110" s="9">
        <f>4*4</f>
        <v>16</v>
      </c>
      <c r="H110" s="9" t="s">
        <v>52</v>
      </c>
      <c r="I110" s="9" t="s">
        <v>16</v>
      </c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9" t="s">
        <v>146</v>
      </c>
      <c r="C111" s="9" t="s">
        <v>176</v>
      </c>
      <c r="D111" s="9" t="s">
        <v>49</v>
      </c>
      <c r="E111" s="9" t="s">
        <v>50</v>
      </c>
      <c r="F111" s="9" t="s">
        <v>178</v>
      </c>
      <c r="G111" s="9">
        <v>12.0</v>
      </c>
      <c r="H111" s="9" t="s">
        <v>52</v>
      </c>
      <c r="I111" s="9" t="s">
        <v>16</v>
      </c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9" t="s">
        <v>146</v>
      </c>
      <c r="C112" s="9" t="s">
        <v>176</v>
      </c>
      <c r="D112" s="9" t="s">
        <v>49</v>
      </c>
      <c r="E112" s="9" t="s">
        <v>50</v>
      </c>
      <c r="F112" s="9" t="s">
        <v>179</v>
      </c>
      <c r="G112" s="9">
        <v>4.0</v>
      </c>
      <c r="H112" s="9" t="s">
        <v>52</v>
      </c>
      <c r="I112" s="9" t="s">
        <v>16</v>
      </c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9" t="s">
        <v>146</v>
      </c>
      <c r="C113" s="9" t="s">
        <v>176</v>
      </c>
      <c r="D113" s="9" t="s">
        <v>49</v>
      </c>
      <c r="E113" s="9" t="s">
        <v>54</v>
      </c>
      <c r="F113" s="9" t="s">
        <v>180</v>
      </c>
      <c r="G113" s="9">
        <v>2.0</v>
      </c>
      <c r="H113" s="9" t="s">
        <v>52</v>
      </c>
      <c r="I113" s="9" t="s">
        <v>16</v>
      </c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9" t="s">
        <v>146</v>
      </c>
      <c r="C114" s="9" t="s">
        <v>176</v>
      </c>
      <c r="D114" s="9" t="s">
        <v>12</v>
      </c>
      <c r="E114" s="9" t="s">
        <v>181</v>
      </c>
      <c r="F114" s="9" t="s">
        <v>182</v>
      </c>
      <c r="G114" s="9">
        <v>2.0</v>
      </c>
      <c r="H114" s="9" t="s">
        <v>165</v>
      </c>
      <c r="I114" s="9" t="s">
        <v>16</v>
      </c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9" t="s">
        <v>146</v>
      </c>
      <c r="C115" s="9" t="s">
        <v>176</v>
      </c>
      <c r="D115" s="9" t="s">
        <v>12</v>
      </c>
      <c r="E115" s="9" t="s">
        <v>97</v>
      </c>
      <c r="F115" s="9" t="s">
        <v>183</v>
      </c>
      <c r="G115" s="9">
        <v>8.0</v>
      </c>
      <c r="H115" s="9" t="s">
        <v>67</v>
      </c>
      <c r="I115" s="9" t="s">
        <v>21</v>
      </c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9" t="s">
        <v>146</v>
      </c>
      <c r="C116" s="9" t="s">
        <v>176</v>
      </c>
      <c r="D116" s="9" t="s">
        <v>12</v>
      </c>
      <c r="E116" s="9" t="s">
        <v>97</v>
      </c>
      <c r="F116" s="9" t="s">
        <v>184</v>
      </c>
      <c r="G116" s="9">
        <v>1.0</v>
      </c>
      <c r="H116" s="9" t="s">
        <v>15</v>
      </c>
      <c r="I116" s="9" t="s">
        <v>21</v>
      </c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9" t="s">
        <v>146</v>
      </c>
      <c r="C117" s="9" t="s">
        <v>176</v>
      </c>
      <c r="D117" s="9" t="s">
        <v>12</v>
      </c>
      <c r="E117" s="9" t="s">
        <v>97</v>
      </c>
      <c r="F117" s="9" t="s">
        <v>185</v>
      </c>
      <c r="G117" s="9">
        <v>1.0</v>
      </c>
      <c r="H117" s="9" t="s">
        <v>15</v>
      </c>
      <c r="I117" s="9" t="s">
        <v>21</v>
      </c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9" t="s">
        <v>146</v>
      </c>
      <c r="C118" s="9" t="s">
        <v>176</v>
      </c>
      <c r="D118" s="9" t="s">
        <v>12</v>
      </c>
      <c r="E118" s="9" t="s">
        <v>97</v>
      </c>
      <c r="F118" s="9" t="s">
        <v>186</v>
      </c>
      <c r="G118" s="9">
        <v>1.0</v>
      </c>
      <c r="H118" s="9" t="s">
        <v>15</v>
      </c>
      <c r="I118" s="9" t="s">
        <v>21</v>
      </c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9" t="s">
        <v>146</v>
      </c>
      <c r="C119" s="9" t="s">
        <v>176</v>
      </c>
      <c r="D119" s="9" t="s">
        <v>12</v>
      </c>
      <c r="E119" s="9" t="s">
        <v>97</v>
      </c>
      <c r="F119" s="9" t="s">
        <v>187</v>
      </c>
      <c r="G119" s="9">
        <v>1.0</v>
      </c>
      <c r="H119" s="9" t="s">
        <v>15</v>
      </c>
      <c r="I119" s="9" t="s">
        <v>16</v>
      </c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9" t="s">
        <v>146</v>
      </c>
      <c r="C120" s="9" t="s">
        <v>176</v>
      </c>
      <c r="D120" s="9" t="s">
        <v>12</v>
      </c>
      <c r="E120" s="9" t="s">
        <v>97</v>
      </c>
      <c r="F120" s="9" t="s">
        <v>188</v>
      </c>
      <c r="G120" s="9">
        <v>1.0</v>
      </c>
      <c r="H120" s="9" t="s">
        <v>15</v>
      </c>
      <c r="I120" s="9" t="s">
        <v>16</v>
      </c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9" t="s">
        <v>146</v>
      </c>
      <c r="C121" s="9" t="s">
        <v>176</v>
      </c>
      <c r="D121" s="9" t="s">
        <v>12</v>
      </c>
      <c r="E121" s="9" t="s">
        <v>97</v>
      </c>
      <c r="F121" s="9" t="s">
        <v>189</v>
      </c>
      <c r="G121" s="9">
        <v>1.0</v>
      </c>
      <c r="H121" s="9" t="s">
        <v>15</v>
      </c>
      <c r="I121" s="9" t="s">
        <v>21</v>
      </c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9" t="s">
        <v>146</v>
      </c>
      <c r="C122" s="9" t="s">
        <v>176</v>
      </c>
      <c r="D122" s="9" t="s">
        <v>12</v>
      </c>
      <c r="E122" s="9" t="s">
        <v>97</v>
      </c>
      <c r="F122" s="9" t="s">
        <v>190</v>
      </c>
      <c r="G122" s="9">
        <v>1.0</v>
      </c>
      <c r="H122" s="9" t="s">
        <v>15</v>
      </c>
      <c r="I122" s="9" t="s">
        <v>21</v>
      </c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9" t="s">
        <v>146</v>
      </c>
      <c r="C123" s="9" t="s">
        <v>176</v>
      </c>
      <c r="D123" s="9" t="s">
        <v>12</v>
      </c>
      <c r="E123" s="9" t="s">
        <v>97</v>
      </c>
      <c r="F123" s="9" t="s">
        <v>191</v>
      </c>
      <c r="G123" s="9">
        <v>1.0</v>
      </c>
      <c r="H123" s="9" t="s">
        <v>15</v>
      </c>
      <c r="I123" s="9" t="s">
        <v>16</v>
      </c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9" t="s">
        <v>146</v>
      </c>
      <c r="C124" s="9" t="s">
        <v>176</v>
      </c>
      <c r="D124" s="9" t="s">
        <v>12</v>
      </c>
      <c r="E124" s="9" t="s">
        <v>97</v>
      </c>
      <c r="F124" s="9" t="s">
        <v>192</v>
      </c>
      <c r="G124" s="9">
        <v>1.0</v>
      </c>
      <c r="H124" s="9" t="s">
        <v>15</v>
      </c>
      <c r="I124" s="9" t="s">
        <v>16</v>
      </c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9" t="s">
        <v>146</v>
      </c>
      <c r="C125" s="9" t="s">
        <v>176</v>
      </c>
      <c r="D125" s="9" t="s">
        <v>12</v>
      </c>
      <c r="E125" s="9" t="s">
        <v>97</v>
      </c>
      <c r="F125" s="9" t="s">
        <v>193</v>
      </c>
      <c r="G125" s="9">
        <v>1.0</v>
      </c>
      <c r="H125" s="9" t="s">
        <v>15</v>
      </c>
      <c r="I125" s="9" t="s">
        <v>21</v>
      </c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9" t="s">
        <v>146</v>
      </c>
      <c r="C126" s="9" t="s">
        <v>176</v>
      </c>
      <c r="D126" s="9" t="s">
        <v>12</v>
      </c>
      <c r="E126" s="9" t="s">
        <v>97</v>
      </c>
      <c r="F126" s="9" t="s">
        <v>194</v>
      </c>
      <c r="G126" s="9">
        <v>1.0</v>
      </c>
      <c r="H126" s="9" t="s">
        <v>15</v>
      </c>
      <c r="I126" s="9" t="s">
        <v>21</v>
      </c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9" t="s">
        <v>146</v>
      </c>
      <c r="C127" s="9" t="s">
        <v>176</v>
      </c>
      <c r="D127" s="9" t="s">
        <v>12</v>
      </c>
      <c r="E127" s="9" t="s">
        <v>99</v>
      </c>
      <c r="F127" s="9" t="s">
        <v>106</v>
      </c>
      <c r="G127" s="9">
        <v>2.0</v>
      </c>
      <c r="H127" s="9" t="s">
        <v>15</v>
      </c>
      <c r="I127" s="9" t="s">
        <v>21</v>
      </c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9" t="s">
        <v>146</v>
      </c>
      <c r="C128" s="9" t="s">
        <v>176</v>
      </c>
      <c r="D128" s="9" t="s">
        <v>49</v>
      </c>
      <c r="E128" s="9" t="s">
        <v>57</v>
      </c>
      <c r="F128" s="9" t="s">
        <v>118</v>
      </c>
      <c r="G128" s="9">
        <v>4.0</v>
      </c>
      <c r="H128" s="9" t="s">
        <v>154</v>
      </c>
      <c r="I128" s="9" t="s">
        <v>16</v>
      </c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9" t="s">
        <v>146</v>
      </c>
      <c r="C129" s="9" t="s">
        <v>176</v>
      </c>
      <c r="D129" s="9" t="s">
        <v>49</v>
      </c>
      <c r="E129" s="9" t="s">
        <v>57</v>
      </c>
      <c r="F129" s="9" t="s">
        <v>195</v>
      </c>
      <c r="G129" s="9">
        <f>2*12</f>
        <v>24</v>
      </c>
      <c r="H129" s="9" t="s">
        <v>52</v>
      </c>
      <c r="I129" s="9" t="s">
        <v>16</v>
      </c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9" t="s">
        <v>146</v>
      </c>
      <c r="C130" s="9" t="s">
        <v>176</v>
      </c>
      <c r="D130" s="9" t="s">
        <v>49</v>
      </c>
      <c r="E130" s="9" t="s">
        <v>50</v>
      </c>
      <c r="F130" s="9" t="s">
        <v>196</v>
      </c>
      <c r="G130" s="9">
        <v>4.0</v>
      </c>
      <c r="H130" s="9" t="s">
        <v>52</v>
      </c>
      <c r="I130" s="9" t="s">
        <v>21</v>
      </c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9" t="s">
        <v>146</v>
      </c>
      <c r="C131" s="9" t="s">
        <v>176</v>
      </c>
      <c r="D131" s="9" t="s">
        <v>49</v>
      </c>
      <c r="E131" s="9" t="s">
        <v>50</v>
      </c>
      <c r="F131" s="9" t="s">
        <v>163</v>
      </c>
      <c r="G131" s="9">
        <v>4.0</v>
      </c>
      <c r="H131" s="9" t="s">
        <v>52</v>
      </c>
      <c r="I131" s="9" t="s">
        <v>16</v>
      </c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9" t="s">
        <v>146</v>
      </c>
      <c r="C132" s="9" t="s">
        <v>176</v>
      </c>
      <c r="D132" s="9" t="s">
        <v>49</v>
      </c>
      <c r="E132" s="9" t="s">
        <v>171</v>
      </c>
      <c r="F132" s="9" t="s">
        <v>197</v>
      </c>
      <c r="G132" s="9">
        <v>2.0</v>
      </c>
      <c r="H132" s="9" t="s">
        <v>173</v>
      </c>
      <c r="I132" s="9" t="s">
        <v>21</v>
      </c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9" t="s">
        <v>146</v>
      </c>
      <c r="C133" s="9" t="s">
        <v>176</v>
      </c>
      <c r="D133" s="9" t="s">
        <v>12</v>
      </c>
      <c r="E133" s="9" t="s">
        <v>18</v>
      </c>
      <c r="F133" s="9" t="s">
        <v>198</v>
      </c>
      <c r="G133" s="9">
        <v>4.0</v>
      </c>
      <c r="H133" s="9" t="s">
        <v>15</v>
      </c>
      <c r="I133" s="9" t="s">
        <v>21</v>
      </c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9" t="s">
        <v>146</v>
      </c>
      <c r="C134" s="9" t="s">
        <v>176</v>
      </c>
      <c r="D134" s="9" t="s">
        <v>12</v>
      </c>
      <c r="E134" s="9" t="s">
        <v>18</v>
      </c>
      <c r="F134" s="9" t="s">
        <v>199</v>
      </c>
      <c r="G134" s="9">
        <v>6.0</v>
      </c>
      <c r="H134" s="9" t="s">
        <v>15</v>
      </c>
      <c r="I134" s="9" t="s">
        <v>21</v>
      </c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9" t="s">
        <v>146</v>
      </c>
      <c r="C135" s="9" t="s">
        <v>176</v>
      </c>
      <c r="D135" s="9" t="s">
        <v>12</v>
      </c>
      <c r="E135" s="9" t="s">
        <v>127</v>
      </c>
      <c r="F135" s="9" t="s">
        <v>200</v>
      </c>
      <c r="G135" s="9">
        <v>5.0</v>
      </c>
      <c r="H135" s="9" t="s">
        <v>15</v>
      </c>
      <c r="I135" s="9" t="s">
        <v>21</v>
      </c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9" t="s">
        <v>146</v>
      </c>
      <c r="C136" s="9" t="s">
        <v>176</v>
      </c>
      <c r="D136" s="9" t="s">
        <v>12</v>
      </c>
      <c r="E136" s="9" t="s">
        <v>127</v>
      </c>
      <c r="F136" s="9" t="s">
        <v>201</v>
      </c>
      <c r="G136" s="9">
        <v>5.0</v>
      </c>
      <c r="H136" s="9" t="s">
        <v>15</v>
      </c>
      <c r="I136" s="9" t="s">
        <v>21</v>
      </c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9" t="s">
        <v>146</v>
      </c>
      <c r="C137" s="9" t="s">
        <v>176</v>
      </c>
      <c r="D137" s="9" t="s">
        <v>12</v>
      </c>
      <c r="E137" s="9" t="s">
        <v>127</v>
      </c>
      <c r="F137" s="9" t="s">
        <v>202</v>
      </c>
      <c r="G137" s="9">
        <v>5.0</v>
      </c>
      <c r="H137" s="9" t="s">
        <v>15</v>
      </c>
      <c r="I137" s="9" t="s">
        <v>21</v>
      </c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9" t="s">
        <v>146</v>
      </c>
      <c r="C138" s="9" t="s">
        <v>176</v>
      </c>
      <c r="D138" s="9" t="s">
        <v>12</v>
      </c>
      <c r="E138" s="9" t="s">
        <v>127</v>
      </c>
      <c r="F138" s="9" t="s">
        <v>203</v>
      </c>
      <c r="G138" s="9">
        <v>4.0</v>
      </c>
      <c r="H138" s="9" t="s">
        <v>15</v>
      </c>
      <c r="I138" s="9" t="s">
        <v>21</v>
      </c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9" t="s">
        <v>146</v>
      </c>
      <c r="C139" s="9" t="s">
        <v>176</v>
      </c>
      <c r="D139" s="9" t="s">
        <v>12</v>
      </c>
      <c r="E139" s="9" t="s">
        <v>127</v>
      </c>
      <c r="F139" s="9" t="s">
        <v>204</v>
      </c>
      <c r="G139" s="9">
        <v>4.0</v>
      </c>
      <c r="H139" s="9" t="s">
        <v>15</v>
      </c>
      <c r="I139" s="9" t="s">
        <v>21</v>
      </c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9" t="s">
        <v>146</v>
      </c>
      <c r="C140" s="9" t="s">
        <v>176</v>
      </c>
      <c r="D140" s="9" t="s">
        <v>12</v>
      </c>
      <c r="E140" s="9" t="s">
        <v>127</v>
      </c>
      <c r="F140" s="9" t="s">
        <v>205</v>
      </c>
      <c r="G140" s="9">
        <v>4.0</v>
      </c>
      <c r="H140" s="9" t="s">
        <v>15</v>
      </c>
      <c r="I140" s="9" t="s">
        <v>21</v>
      </c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9" t="s">
        <v>206</v>
      </c>
      <c r="C141" s="9" t="s">
        <v>207</v>
      </c>
      <c r="D141" s="9" t="s">
        <v>12</v>
      </c>
      <c r="E141" s="9" t="s">
        <v>94</v>
      </c>
      <c r="F141" s="9" t="s">
        <v>208</v>
      </c>
      <c r="G141" s="9">
        <v>80.0</v>
      </c>
      <c r="H141" s="9" t="s">
        <v>15</v>
      </c>
      <c r="I141" s="9" t="s">
        <v>16</v>
      </c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9" t="s">
        <v>206</v>
      </c>
      <c r="C142" s="9" t="s">
        <v>207</v>
      </c>
      <c r="D142" s="9" t="s">
        <v>12</v>
      </c>
      <c r="E142" s="9" t="s">
        <v>209</v>
      </c>
      <c r="F142" s="9" t="s">
        <v>210</v>
      </c>
      <c r="G142" s="9">
        <v>30.0</v>
      </c>
      <c r="H142" s="9" t="s">
        <v>15</v>
      </c>
      <c r="I142" s="9" t="s">
        <v>16</v>
      </c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9" t="s">
        <v>206</v>
      </c>
      <c r="C143" s="9" t="s">
        <v>207</v>
      </c>
      <c r="D143" s="9" t="s">
        <v>49</v>
      </c>
      <c r="E143" s="9" t="s">
        <v>57</v>
      </c>
      <c r="F143" s="9" t="s">
        <v>211</v>
      </c>
      <c r="G143" s="9">
        <v>8.0</v>
      </c>
      <c r="H143" s="9" t="s">
        <v>52</v>
      </c>
      <c r="I143" s="9" t="s">
        <v>16</v>
      </c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9" t="s">
        <v>206</v>
      </c>
      <c r="C144" s="9" t="s">
        <v>207</v>
      </c>
      <c r="D144" s="9" t="s">
        <v>49</v>
      </c>
      <c r="E144" s="9" t="s">
        <v>57</v>
      </c>
      <c r="F144" s="9" t="s">
        <v>212</v>
      </c>
      <c r="G144" s="9">
        <v>3.0</v>
      </c>
      <c r="H144" s="9" t="s">
        <v>52</v>
      </c>
      <c r="I144" s="9" t="s">
        <v>16</v>
      </c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9" t="s">
        <v>206</v>
      </c>
      <c r="C145" s="9" t="s">
        <v>207</v>
      </c>
      <c r="D145" s="9" t="s">
        <v>115</v>
      </c>
      <c r="E145" s="9" t="s">
        <v>116</v>
      </c>
      <c r="F145" s="9" t="s">
        <v>213</v>
      </c>
      <c r="G145" s="9">
        <v>1.0</v>
      </c>
      <c r="H145" s="9" t="s">
        <v>15</v>
      </c>
      <c r="I145" s="9" t="s">
        <v>16</v>
      </c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9" t="s">
        <v>206</v>
      </c>
      <c r="C146" s="9" t="s">
        <v>207</v>
      </c>
      <c r="D146" s="9" t="s">
        <v>115</v>
      </c>
      <c r="E146" s="9" t="s">
        <v>116</v>
      </c>
      <c r="F146" s="9" t="s">
        <v>214</v>
      </c>
      <c r="G146" s="9">
        <v>1.0</v>
      </c>
      <c r="H146" s="9" t="s">
        <v>165</v>
      </c>
      <c r="I146" s="9" t="s">
        <v>16</v>
      </c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9" t="s">
        <v>206</v>
      </c>
      <c r="C147" s="9" t="s">
        <v>207</v>
      </c>
      <c r="D147" s="9" t="s">
        <v>17</v>
      </c>
      <c r="E147" s="9" t="s">
        <v>18</v>
      </c>
      <c r="F147" s="9" t="s">
        <v>215</v>
      </c>
      <c r="G147" s="9">
        <v>5.0</v>
      </c>
      <c r="H147" s="9" t="s">
        <v>15</v>
      </c>
      <c r="I147" s="9" t="s">
        <v>70</v>
      </c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9" t="s">
        <v>206</v>
      </c>
      <c r="C148" s="9" t="s">
        <v>207</v>
      </c>
      <c r="D148" s="9" t="s">
        <v>17</v>
      </c>
      <c r="E148" s="9" t="s">
        <v>18</v>
      </c>
      <c r="F148" s="9" t="s">
        <v>216</v>
      </c>
      <c r="G148" s="9">
        <v>5.0</v>
      </c>
      <c r="H148" s="9" t="s">
        <v>15</v>
      </c>
      <c r="I148" s="9" t="s">
        <v>16</v>
      </c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9" t="s">
        <v>206</v>
      </c>
      <c r="C149" s="9" t="s">
        <v>207</v>
      </c>
      <c r="D149" s="9" t="s">
        <v>17</v>
      </c>
      <c r="E149" s="9" t="s">
        <v>18</v>
      </c>
      <c r="F149" s="9" t="s">
        <v>217</v>
      </c>
      <c r="G149" s="9">
        <v>100.0</v>
      </c>
      <c r="H149" s="9" t="s">
        <v>15</v>
      </c>
      <c r="I149" s="9" t="s">
        <v>16</v>
      </c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9" t="s">
        <v>206</v>
      </c>
      <c r="C150" s="9" t="s">
        <v>207</v>
      </c>
      <c r="D150" s="9" t="s">
        <v>17</v>
      </c>
      <c r="E150" s="9" t="s">
        <v>18</v>
      </c>
      <c r="F150" s="9" t="s">
        <v>218</v>
      </c>
      <c r="G150" s="9">
        <v>1.0</v>
      </c>
      <c r="H150" s="9" t="s">
        <v>113</v>
      </c>
      <c r="I150" s="9" t="s">
        <v>16</v>
      </c>
      <c r="J150" s="2"/>
      <c r="K150" s="9" t="s">
        <v>219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9" t="s">
        <v>206</v>
      </c>
      <c r="C151" s="9" t="s">
        <v>207</v>
      </c>
      <c r="D151" s="9" t="s">
        <v>17</v>
      </c>
      <c r="E151" s="9" t="s">
        <v>18</v>
      </c>
      <c r="F151" s="9" t="s">
        <v>220</v>
      </c>
      <c r="G151" s="11">
        <v>46143.0</v>
      </c>
      <c r="H151" s="9" t="s">
        <v>41</v>
      </c>
      <c r="I151" s="9" t="s">
        <v>16</v>
      </c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9" t="s">
        <v>206</v>
      </c>
      <c r="C152" s="9" t="s">
        <v>207</v>
      </c>
      <c r="D152" s="9" t="s">
        <v>17</v>
      </c>
      <c r="E152" s="9" t="s">
        <v>18</v>
      </c>
      <c r="F152" s="9" t="s">
        <v>221</v>
      </c>
      <c r="G152" s="9">
        <v>3.0</v>
      </c>
      <c r="H152" s="9" t="s">
        <v>39</v>
      </c>
      <c r="I152" s="9" t="s">
        <v>21</v>
      </c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9" t="s">
        <v>206</v>
      </c>
      <c r="C153" s="9" t="s">
        <v>207</v>
      </c>
      <c r="D153" s="9" t="s">
        <v>17</v>
      </c>
      <c r="E153" s="9" t="s">
        <v>18</v>
      </c>
      <c r="F153" s="9" t="s">
        <v>222</v>
      </c>
      <c r="G153" s="9">
        <v>0.5</v>
      </c>
      <c r="H153" s="9" t="s">
        <v>41</v>
      </c>
      <c r="I153" s="9" t="s">
        <v>16</v>
      </c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9" t="s">
        <v>206</v>
      </c>
      <c r="C154" s="9" t="s">
        <v>207</v>
      </c>
      <c r="D154" s="9" t="s">
        <v>17</v>
      </c>
      <c r="E154" s="9" t="s">
        <v>18</v>
      </c>
      <c r="F154" s="9" t="s">
        <v>223</v>
      </c>
      <c r="G154" s="9">
        <v>22.0</v>
      </c>
      <c r="H154" s="9" t="s">
        <v>46</v>
      </c>
      <c r="I154" s="9" t="s">
        <v>21</v>
      </c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9" t="s">
        <v>206</v>
      </c>
      <c r="C155" s="9" t="s">
        <v>207</v>
      </c>
      <c r="D155" s="9" t="s">
        <v>17</v>
      </c>
      <c r="E155" s="9" t="s">
        <v>18</v>
      </c>
      <c r="F155" s="9" t="s">
        <v>224</v>
      </c>
      <c r="G155" s="9">
        <v>12.0</v>
      </c>
      <c r="H155" s="9" t="s">
        <v>15</v>
      </c>
      <c r="I155" s="9" t="s">
        <v>21</v>
      </c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9" t="s">
        <v>206</v>
      </c>
      <c r="C156" s="9" t="s">
        <v>207</v>
      </c>
      <c r="D156" s="9" t="s">
        <v>17</v>
      </c>
      <c r="E156" s="9" t="s">
        <v>18</v>
      </c>
      <c r="F156" s="9" t="s">
        <v>225</v>
      </c>
      <c r="G156" s="9">
        <v>1.0</v>
      </c>
      <c r="H156" s="9" t="s">
        <v>15</v>
      </c>
      <c r="I156" s="9" t="s">
        <v>21</v>
      </c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9" t="s">
        <v>206</v>
      </c>
      <c r="C157" s="9" t="s">
        <v>207</v>
      </c>
      <c r="D157" s="9" t="s">
        <v>17</v>
      </c>
      <c r="E157" s="9" t="s">
        <v>18</v>
      </c>
      <c r="F157" s="9" t="s">
        <v>226</v>
      </c>
      <c r="G157" s="9">
        <v>1.0</v>
      </c>
      <c r="H157" s="9" t="s">
        <v>15</v>
      </c>
      <c r="I157" s="9" t="s">
        <v>21</v>
      </c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9" t="s">
        <v>206</v>
      </c>
      <c r="C158" s="9" t="s">
        <v>207</v>
      </c>
      <c r="D158" s="9" t="s">
        <v>17</v>
      </c>
      <c r="E158" s="9" t="s">
        <v>18</v>
      </c>
      <c r="F158" s="9" t="s">
        <v>227</v>
      </c>
      <c r="G158" s="9">
        <v>1.0</v>
      </c>
      <c r="H158" s="9" t="s">
        <v>15</v>
      </c>
      <c r="I158" s="9" t="s">
        <v>21</v>
      </c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9" t="s">
        <v>206</v>
      </c>
      <c r="C159" s="9" t="s">
        <v>207</v>
      </c>
      <c r="D159" s="9" t="s">
        <v>17</v>
      </c>
      <c r="E159" s="9" t="s">
        <v>18</v>
      </c>
      <c r="F159" s="9" t="s">
        <v>228</v>
      </c>
      <c r="G159" s="9">
        <v>2.0</v>
      </c>
      <c r="H159" s="9" t="s">
        <v>15</v>
      </c>
      <c r="I159" s="9" t="s">
        <v>21</v>
      </c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9" t="s">
        <v>206</v>
      </c>
      <c r="C160" s="9" t="s">
        <v>207</v>
      </c>
      <c r="D160" s="9" t="s">
        <v>12</v>
      </c>
      <c r="E160" s="9" t="s">
        <v>65</v>
      </c>
      <c r="F160" s="9" t="s">
        <v>229</v>
      </c>
      <c r="G160" s="9">
        <v>1.0</v>
      </c>
      <c r="H160" s="9" t="s">
        <v>67</v>
      </c>
      <c r="I160" s="9" t="s">
        <v>16</v>
      </c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9" t="s">
        <v>206</v>
      </c>
      <c r="C161" s="9" t="s">
        <v>207</v>
      </c>
      <c r="D161" s="9" t="s">
        <v>12</v>
      </c>
      <c r="E161" s="9" t="s">
        <v>65</v>
      </c>
      <c r="F161" s="9" t="s">
        <v>230</v>
      </c>
      <c r="G161" s="9">
        <v>4.0</v>
      </c>
      <c r="H161" s="9" t="s">
        <v>15</v>
      </c>
      <c r="I161" s="9" t="s">
        <v>16</v>
      </c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9" t="s">
        <v>206</v>
      </c>
      <c r="C162" s="9" t="s">
        <v>207</v>
      </c>
      <c r="D162" s="9" t="s">
        <v>12</v>
      </c>
      <c r="E162" s="9" t="s">
        <v>13</v>
      </c>
      <c r="F162" s="9" t="s">
        <v>231</v>
      </c>
      <c r="G162" s="9">
        <v>1.0</v>
      </c>
      <c r="H162" s="9" t="s">
        <v>15</v>
      </c>
      <c r="I162" s="9" t="s">
        <v>16</v>
      </c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9" t="s">
        <v>206</v>
      </c>
      <c r="C163" s="9" t="s">
        <v>207</v>
      </c>
      <c r="D163" s="9" t="s">
        <v>12</v>
      </c>
      <c r="E163" s="9" t="s">
        <v>65</v>
      </c>
      <c r="F163" s="9" t="s">
        <v>123</v>
      </c>
      <c r="G163" s="9">
        <v>1.0</v>
      </c>
      <c r="H163" s="9" t="s">
        <v>67</v>
      </c>
      <c r="I163" s="9" t="s">
        <v>16</v>
      </c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9" t="s">
        <v>206</v>
      </c>
      <c r="C164" s="9" t="s">
        <v>207</v>
      </c>
      <c r="D164" s="9" t="s">
        <v>12</v>
      </c>
      <c r="E164" s="9" t="s">
        <v>65</v>
      </c>
      <c r="F164" s="9" t="s">
        <v>232</v>
      </c>
      <c r="G164" s="9">
        <v>2.0</v>
      </c>
      <c r="H164" s="9" t="s">
        <v>67</v>
      </c>
      <c r="I164" s="9" t="s">
        <v>16</v>
      </c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9" t="s">
        <v>206</v>
      </c>
      <c r="C165" s="9" t="s">
        <v>207</v>
      </c>
      <c r="D165" s="9" t="s">
        <v>12</v>
      </c>
      <c r="E165" s="9" t="s">
        <v>65</v>
      </c>
      <c r="F165" s="9" t="s">
        <v>233</v>
      </c>
      <c r="G165" s="9">
        <v>1.0</v>
      </c>
      <c r="H165" s="9" t="s">
        <v>67</v>
      </c>
      <c r="I165" s="9" t="s">
        <v>16</v>
      </c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9" t="s">
        <v>206</v>
      </c>
      <c r="C166" s="9" t="s">
        <v>207</v>
      </c>
      <c r="D166" s="9" t="s">
        <v>12</v>
      </c>
      <c r="E166" s="9" t="s">
        <v>65</v>
      </c>
      <c r="F166" s="9" t="s">
        <v>234</v>
      </c>
      <c r="G166" s="9">
        <v>1.0</v>
      </c>
      <c r="H166" s="9" t="s">
        <v>67</v>
      </c>
      <c r="I166" s="9" t="s">
        <v>16</v>
      </c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9" t="s">
        <v>206</v>
      </c>
      <c r="C167" s="9" t="s">
        <v>207</v>
      </c>
      <c r="D167" s="9" t="s">
        <v>12</v>
      </c>
      <c r="E167" s="9" t="s">
        <v>65</v>
      </c>
      <c r="F167" s="9" t="s">
        <v>66</v>
      </c>
      <c r="G167" s="9">
        <v>10.0</v>
      </c>
      <c r="H167" s="9" t="s">
        <v>67</v>
      </c>
      <c r="I167" s="9" t="s">
        <v>21</v>
      </c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9" t="s">
        <v>206</v>
      </c>
      <c r="C168" s="9" t="s">
        <v>207</v>
      </c>
      <c r="D168" s="9" t="s">
        <v>12</v>
      </c>
      <c r="E168" s="9" t="s">
        <v>65</v>
      </c>
      <c r="F168" s="9" t="s">
        <v>235</v>
      </c>
      <c r="G168" s="9">
        <v>20.0</v>
      </c>
      <c r="H168" s="9" t="s">
        <v>15</v>
      </c>
      <c r="I168" s="9" t="s">
        <v>21</v>
      </c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9" t="s">
        <v>206</v>
      </c>
      <c r="C169" s="9" t="s">
        <v>207</v>
      </c>
      <c r="D169" s="9" t="s">
        <v>12</v>
      </c>
      <c r="E169" s="9" t="s">
        <v>65</v>
      </c>
      <c r="F169" s="9" t="s">
        <v>236</v>
      </c>
      <c r="G169" s="9">
        <v>3.0</v>
      </c>
      <c r="H169" s="9" t="s">
        <v>15</v>
      </c>
      <c r="I169" s="9" t="s">
        <v>21</v>
      </c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9" t="s">
        <v>206</v>
      </c>
      <c r="C170" s="9" t="s">
        <v>207</v>
      </c>
      <c r="D170" s="9" t="s">
        <v>12</v>
      </c>
      <c r="E170" s="9" t="s">
        <v>65</v>
      </c>
      <c r="F170" s="9" t="s">
        <v>237</v>
      </c>
      <c r="G170" s="9">
        <v>2.0</v>
      </c>
      <c r="H170" s="9" t="s">
        <v>67</v>
      </c>
      <c r="I170" s="9" t="s">
        <v>21</v>
      </c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9" t="s">
        <v>206</v>
      </c>
      <c r="C171" s="9" t="s">
        <v>207</v>
      </c>
      <c r="D171" s="9" t="s">
        <v>12</v>
      </c>
      <c r="E171" s="9" t="s">
        <v>65</v>
      </c>
      <c r="F171" s="9" t="s">
        <v>238</v>
      </c>
      <c r="G171" s="9">
        <v>5.0</v>
      </c>
      <c r="H171" s="9" t="s">
        <v>67</v>
      </c>
      <c r="I171" s="9" t="s">
        <v>21</v>
      </c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9" t="s">
        <v>206</v>
      </c>
      <c r="C172" s="9" t="s">
        <v>207</v>
      </c>
      <c r="D172" s="9" t="s">
        <v>12</v>
      </c>
      <c r="E172" s="9" t="s">
        <v>65</v>
      </c>
      <c r="F172" s="9" t="s">
        <v>239</v>
      </c>
      <c r="G172" s="9">
        <v>2.0</v>
      </c>
      <c r="H172" s="9" t="s">
        <v>15</v>
      </c>
      <c r="I172" s="9" t="s">
        <v>21</v>
      </c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9" t="s">
        <v>206</v>
      </c>
      <c r="C173" s="9" t="s">
        <v>207</v>
      </c>
      <c r="D173" s="9" t="s">
        <v>12</v>
      </c>
      <c r="E173" s="9" t="s">
        <v>65</v>
      </c>
      <c r="F173" s="9" t="s">
        <v>240</v>
      </c>
      <c r="G173" s="9">
        <v>1.0</v>
      </c>
      <c r="H173" s="9" t="s">
        <v>67</v>
      </c>
      <c r="I173" s="9" t="s">
        <v>21</v>
      </c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9" t="s">
        <v>206</v>
      </c>
      <c r="C174" s="9" t="s">
        <v>207</v>
      </c>
      <c r="D174" s="9" t="s">
        <v>12</v>
      </c>
      <c r="E174" s="9" t="s">
        <v>65</v>
      </c>
      <c r="F174" s="9" t="s">
        <v>241</v>
      </c>
      <c r="G174" s="9">
        <v>1.0</v>
      </c>
      <c r="H174" s="9" t="s">
        <v>67</v>
      </c>
      <c r="I174" s="9" t="s">
        <v>21</v>
      </c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9" t="s">
        <v>206</v>
      </c>
      <c r="C175" s="9" t="s">
        <v>207</v>
      </c>
      <c r="D175" s="9" t="s">
        <v>12</v>
      </c>
      <c r="E175" s="9" t="s">
        <v>65</v>
      </c>
      <c r="F175" s="9" t="s">
        <v>242</v>
      </c>
      <c r="G175" s="9">
        <v>1.0</v>
      </c>
      <c r="H175" s="9" t="s">
        <v>67</v>
      </c>
      <c r="I175" s="9" t="s">
        <v>21</v>
      </c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9" t="s">
        <v>206</v>
      </c>
      <c r="C176" s="9" t="s">
        <v>207</v>
      </c>
      <c r="D176" s="9" t="s">
        <v>12</v>
      </c>
      <c r="E176" s="9" t="s">
        <v>65</v>
      </c>
      <c r="F176" s="9" t="s">
        <v>243</v>
      </c>
      <c r="G176" s="9">
        <v>2.0</v>
      </c>
      <c r="H176" s="9" t="s">
        <v>15</v>
      </c>
      <c r="I176" s="9" t="s">
        <v>21</v>
      </c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9" t="s">
        <v>206</v>
      </c>
      <c r="C177" s="9" t="s">
        <v>207</v>
      </c>
      <c r="D177" s="9" t="s">
        <v>12</v>
      </c>
      <c r="E177" s="9" t="s">
        <v>65</v>
      </c>
      <c r="F177" s="9" t="s">
        <v>244</v>
      </c>
      <c r="G177" s="9">
        <v>4.0</v>
      </c>
      <c r="H177" s="9" t="s">
        <v>67</v>
      </c>
      <c r="I177" s="9" t="s">
        <v>21</v>
      </c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9" t="s">
        <v>206</v>
      </c>
      <c r="C178" s="9" t="s">
        <v>207</v>
      </c>
      <c r="D178" s="9" t="s">
        <v>12</v>
      </c>
      <c r="E178" s="9" t="s">
        <v>65</v>
      </c>
      <c r="F178" s="9" t="s">
        <v>245</v>
      </c>
      <c r="G178" s="9">
        <v>2.0</v>
      </c>
      <c r="H178" s="9" t="s">
        <v>67</v>
      </c>
      <c r="I178" s="9" t="s">
        <v>21</v>
      </c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9" t="s">
        <v>206</v>
      </c>
      <c r="C179" s="9" t="s">
        <v>207</v>
      </c>
      <c r="D179" s="9" t="s">
        <v>12</v>
      </c>
      <c r="E179" s="9" t="s">
        <v>65</v>
      </c>
      <c r="F179" s="9" t="s">
        <v>105</v>
      </c>
      <c r="G179" s="9">
        <v>2.0</v>
      </c>
      <c r="H179" s="9" t="s">
        <v>15</v>
      </c>
      <c r="I179" s="9" t="s">
        <v>21</v>
      </c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9" t="s">
        <v>206</v>
      </c>
      <c r="C180" s="9" t="s">
        <v>207</v>
      </c>
      <c r="D180" s="9" t="s">
        <v>12</v>
      </c>
      <c r="E180" s="9" t="s">
        <v>65</v>
      </c>
      <c r="F180" s="9" t="s">
        <v>246</v>
      </c>
      <c r="G180" s="9">
        <v>5.0</v>
      </c>
      <c r="H180" s="9" t="s">
        <v>67</v>
      </c>
      <c r="I180" s="9" t="s">
        <v>21</v>
      </c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9" t="s">
        <v>206</v>
      </c>
      <c r="C181" s="9" t="s">
        <v>207</v>
      </c>
      <c r="D181" s="9" t="s">
        <v>12</v>
      </c>
      <c r="E181" s="9" t="s">
        <v>65</v>
      </c>
      <c r="F181" s="9" t="s">
        <v>247</v>
      </c>
      <c r="G181" s="9">
        <v>2.0</v>
      </c>
      <c r="H181" s="9" t="s">
        <v>67</v>
      </c>
      <c r="I181" s="9" t="s">
        <v>21</v>
      </c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9" t="s">
        <v>206</v>
      </c>
      <c r="C182" s="9" t="s">
        <v>207</v>
      </c>
      <c r="D182" s="9" t="s">
        <v>12</v>
      </c>
      <c r="E182" s="9" t="s">
        <v>65</v>
      </c>
      <c r="F182" s="9" t="s">
        <v>248</v>
      </c>
      <c r="G182" s="9">
        <v>1.0</v>
      </c>
      <c r="H182" s="9" t="s">
        <v>67</v>
      </c>
      <c r="I182" s="9" t="s">
        <v>21</v>
      </c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9" t="s">
        <v>206</v>
      </c>
      <c r="C183" s="9" t="s">
        <v>207</v>
      </c>
      <c r="D183" s="9" t="s">
        <v>12</v>
      </c>
      <c r="E183" s="9" t="s">
        <v>97</v>
      </c>
      <c r="F183" s="9" t="s">
        <v>249</v>
      </c>
      <c r="G183" s="9">
        <v>2.0</v>
      </c>
      <c r="H183" s="9" t="s">
        <v>15</v>
      </c>
      <c r="I183" s="9" t="s">
        <v>70</v>
      </c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9" t="s">
        <v>206</v>
      </c>
      <c r="C184" s="9" t="s">
        <v>207</v>
      </c>
      <c r="D184" s="9" t="s">
        <v>12</v>
      </c>
      <c r="E184" s="9" t="s">
        <v>97</v>
      </c>
      <c r="F184" s="9" t="s">
        <v>250</v>
      </c>
      <c r="G184" s="9">
        <v>3.0</v>
      </c>
      <c r="H184" s="9" t="s">
        <v>67</v>
      </c>
      <c r="I184" s="9" t="s">
        <v>16</v>
      </c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9" t="s">
        <v>206</v>
      </c>
      <c r="C185" s="9" t="s">
        <v>207</v>
      </c>
      <c r="D185" s="9" t="s">
        <v>12</v>
      </c>
      <c r="E185" s="9" t="s">
        <v>97</v>
      </c>
      <c r="F185" s="9" t="s">
        <v>251</v>
      </c>
      <c r="G185" s="9">
        <v>1.0</v>
      </c>
      <c r="H185" s="9" t="s">
        <v>15</v>
      </c>
      <c r="I185" s="9" t="s">
        <v>21</v>
      </c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9" t="s">
        <v>206</v>
      </c>
      <c r="C186" s="9" t="s">
        <v>207</v>
      </c>
      <c r="D186" s="9" t="s">
        <v>12</v>
      </c>
      <c r="E186" s="9" t="s">
        <v>97</v>
      </c>
      <c r="F186" s="9" t="s">
        <v>252</v>
      </c>
      <c r="G186" s="9">
        <v>2.0</v>
      </c>
      <c r="H186" s="9" t="s">
        <v>15</v>
      </c>
      <c r="I186" s="9" t="s">
        <v>21</v>
      </c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9" t="s">
        <v>206</v>
      </c>
      <c r="C187" s="9" t="s">
        <v>207</v>
      </c>
      <c r="D187" s="9" t="s">
        <v>12</v>
      </c>
      <c r="E187" s="9" t="s">
        <v>26</v>
      </c>
      <c r="F187" s="9" t="s">
        <v>253</v>
      </c>
      <c r="G187" s="9">
        <v>2.0</v>
      </c>
      <c r="H187" s="9" t="s">
        <v>15</v>
      </c>
      <c r="I187" s="9" t="s">
        <v>16</v>
      </c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9" t="s">
        <v>206</v>
      </c>
      <c r="C188" s="9" t="s">
        <v>207</v>
      </c>
      <c r="D188" s="9" t="s">
        <v>12</v>
      </c>
      <c r="E188" s="9" t="s">
        <v>26</v>
      </c>
      <c r="F188" s="9" t="s">
        <v>254</v>
      </c>
      <c r="G188" s="9">
        <v>3.0</v>
      </c>
      <c r="H188" s="9" t="s">
        <v>15</v>
      </c>
      <c r="I188" s="9" t="s">
        <v>16</v>
      </c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9" t="s">
        <v>206</v>
      </c>
      <c r="C189" s="9" t="s">
        <v>207</v>
      </c>
      <c r="D189" s="9" t="s">
        <v>12</v>
      </c>
      <c r="E189" s="9" t="s">
        <v>26</v>
      </c>
      <c r="F189" s="9" t="s">
        <v>255</v>
      </c>
      <c r="G189" s="9">
        <v>1.0</v>
      </c>
      <c r="H189" s="9" t="s">
        <v>67</v>
      </c>
      <c r="I189" s="9" t="s">
        <v>16</v>
      </c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9" t="s">
        <v>206</v>
      </c>
      <c r="C190" s="9" t="s">
        <v>207</v>
      </c>
      <c r="D190" s="9" t="s">
        <v>12</v>
      </c>
      <c r="E190" s="9" t="s">
        <v>26</v>
      </c>
      <c r="F190" s="9" t="s">
        <v>256</v>
      </c>
      <c r="G190" s="9">
        <v>3.0</v>
      </c>
      <c r="H190" s="9" t="s">
        <v>67</v>
      </c>
      <c r="I190" s="9" t="s">
        <v>16</v>
      </c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9" t="s">
        <v>206</v>
      </c>
      <c r="C191" s="9" t="s">
        <v>207</v>
      </c>
      <c r="D191" s="9" t="s">
        <v>12</v>
      </c>
      <c r="E191" s="9" t="s">
        <v>26</v>
      </c>
      <c r="F191" s="9" t="s">
        <v>257</v>
      </c>
      <c r="G191" s="9">
        <v>2.0</v>
      </c>
      <c r="H191" s="9" t="s">
        <v>67</v>
      </c>
      <c r="I191" s="9" t="s">
        <v>21</v>
      </c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9" t="s">
        <v>206</v>
      </c>
      <c r="C192" s="9" t="s">
        <v>207</v>
      </c>
      <c r="D192" s="9" t="s">
        <v>49</v>
      </c>
      <c r="E192" s="9" t="s">
        <v>57</v>
      </c>
      <c r="F192" s="9" t="s">
        <v>258</v>
      </c>
      <c r="G192" s="9">
        <v>8.0</v>
      </c>
      <c r="H192" s="9" t="s">
        <v>52</v>
      </c>
      <c r="I192" s="9" t="s">
        <v>16</v>
      </c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9" t="s">
        <v>206</v>
      </c>
      <c r="C193" s="9" t="s">
        <v>207</v>
      </c>
      <c r="D193" s="9" t="s">
        <v>49</v>
      </c>
      <c r="E193" s="9" t="s">
        <v>54</v>
      </c>
      <c r="F193" s="9" t="s">
        <v>259</v>
      </c>
      <c r="G193" s="9">
        <v>2.0</v>
      </c>
      <c r="H193" s="9" t="s">
        <v>52</v>
      </c>
      <c r="I193" s="9" t="s">
        <v>16</v>
      </c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9" t="s">
        <v>206</v>
      </c>
      <c r="C194" s="9" t="s">
        <v>207</v>
      </c>
      <c r="D194" s="9" t="s">
        <v>49</v>
      </c>
      <c r="E194" s="9" t="s">
        <v>54</v>
      </c>
      <c r="F194" s="9" t="s">
        <v>260</v>
      </c>
      <c r="G194" s="9">
        <v>4.0</v>
      </c>
      <c r="H194" s="9" t="s">
        <v>52</v>
      </c>
      <c r="I194" s="9" t="s">
        <v>16</v>
      </c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9" t="s">
        <v>206</v>
      </c>
      <c r="C195" s="9" t="s">
        <v>207</v>
      </c>
      <c r="D195" s="9" t="s">
        <v>49</v>
      </c>
      <c r="E195" s="9" t="s">
        <v>57</v>
      </c>
      <c r="F195" s="9" t="s">
        <v>137</v>
      </c>
      <c r="G195" s="9">
        <v>12.0</v>
      </c>
      <c r="H195" s="9" t="s">
        <v>52</v>
      </c>
      <c r="I195" s="9" t="s">
        <v>21</v>
      </c>
      <c r="J195" s="10" t="s">
        <v>261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9" t="s">
        <v>206</v>
      </c>
      <c r="C196" s="9" t="s">
        <v>207</v>
      </c>
      <c r="D196" s="9" t="s">
        <v>49</v>
      </c>
      <c r="E196" s="9" t="s">
        <v>50</v>
      </c>
      <c r="F196" s="9" t="s">
        <v>62</v>
      </c>
      <c r="G196" s="9">
        <v>4.0</v>
      </c>
      <c r="H196" s="9" t="s">
        <v>52</v>
      </c>
      <c r="I196" s="9" t="s">
        <v>21</v>
      </c>
      <c r="J196" s="10" t="s">
        <v>262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9" t="s">
        <v>206</v>
      </c>
      <c r="C197" s="9" t="s">
        <v>207</v>
      </c>
      <c r="D197" s="9" t="s">
        <v>12</v>
      </c>
      <c r="E197" s="9" t="s">
        <v>127</v>
      </c>
      <c r="F197" s="9" t="s">
        <v>263</v>
      </c>
      <c r="G197" s="9">
        <v>3.0</v>
      </c>
      <c r="H197" s="9" t="s">
        <v>15</v>
      </c>
      <c r="I197" s="9" t="s">
        <v>21</v>
      </c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9" t="s">
        <v>206</v>
      </c>
      <c r="C198" s="9" t="s">
        <v>207</v>
      </c>
      <c r="D198" s="9" t="s">
        <v>12</v>
      </c>
      <c r="E198" s="9" t="s">
        <v>127</v>
      </c>
      <c r="F198" s="9" t="s">
        <v>264</v>
      </c>
      <c r="G198" s="9">
        <v>4.0</v>
      </c>
      <c r="H198" s="9" t="s">
        <v>15</v>
      </c>
      <c r="I198" s="9" t="s">
        <v>21</v>
      </c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9" t="s">
        <v>206</v>
      </c>
      <c r="C199" s="9" t="s">
        <v>207</v>
      </c>
      <c r="D199" s="9" t="s">
        <v>12</v>
      </c>
      <c r="E199" s="9" t="s">
        <v>148</v>
      </c>
      <c r="F199" s="9" t="s">
        <v>265</v>
      </c>
      <c r="G199" s="9">
        <v>1.0</v>
      </c>
      <c r="H199" s="9" t="s">
        <v>67</v>
      </c>
      <c r="I199" s="9" t="s">
        <v>21</v>
      </c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9" t="s">
        <v>206</v>
      </c>
      <c r="C200" s="9" t="s">
        <v>207</v>
      </c>
      <c r="D200" s="9" t="s">
        <v>115</v>
      </c>
      <c r="E200" s="9" t="s">
        <v>143</v>
      </c>
      <c r="F200" s="9" t="s">
        <v>266</v>
      </c>
      <c r="G200" s="9">
        <v>30.0</v>
      </c>
      <c r="H200" s="9" t="s">
        <v>52</v>
      </c>
      <c r="I200" s="9" t="s">
        <v>21</v>
      </c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9" t="s">
        <v>206</v>
      </c>
      <c r="C201" s="9" t="s">
        <v>207</v>
      </c>
      <c r="D201" s="9" t="s">
        <v>49</v>
      </c>
      <c r="E201" s="9" t="s">
        <v>57</v>
      </c>
      <c r="F201" s="9" t="s">
        <v>267</v>
      </c>
      <c r="G201" s="9">
        <v>1.0</v>
      </c>
      <c r="H201" s="9" t="s">
        <v>165</v>
      </c>
      <c r="I201" s="9" t="s">
        <v>21</v>
      </c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9" t="s">
        <v>206</v>
      </c>
      <c r="C202" s="9" t="s">
        <v>268</v>
      </c>
      <c r="D202" s="9" t="s">
        <v>12</v>
      </c>
      <c r="E202" s="9" t="s">
        <v>94</v>
      </c>
      <c r="F202" s="9" t="s">
        <v>166</v>
      </c>
      <c r="G202" s="9">
        <v>25.0</v>
      </c>
      <c r="H202" s="9" t="s">
        <v>15</v>
      </c>
      <c r="I202" s="9" t="s">
        <v>16</v>
      </c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9" t="s">
        <v>206</v>
      </c>
      <c r="C203" s="9" t="s">
        <v>268</v>
      </c>
      <c r="D203" s="9" t="s">
        <v>17</v>
      </c>
      <c r="E203" s="9" t="s">
        <v>18</v>
      </c>
      <c r="F203" s="9" t="s">
        <v>269</v>
      </c>
      <c r="G203" s="9">
        <v>6.0</v>
      </c>
      <c r="H203" s="9" t="s">
        <v>15</v>
      </c>
      <c r="I203" s="9" t="s">
        <v>16</v>
      </c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9" t="s">
        <v>206</v>
      </c>
      <c r="C204" s="9" t="s">
        <v>268</v>
      </c>
      <c r="D204" s="9" t="s">
        <v>12</v>
      </c>
      <c r="E204" s="9" t="s">
        <v>13</v>
      </c>
      <c r="F204" s="9" t="s">
        <v>14</v>
      </c>
      <c r="G204" s="9">
        <v>1.0</v>
      </c>
      <c r="H204" s="9" t="s">
        <v>15</v>
      </c>
      <c r="I204" s="9" t="s">
        <v>16</v>
      </c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9" t="s">
        <v>206</v>
      </c>
      <c r="C205" s="9" t="s">
        <v>268</v>
      </c>
      <c r="D205" s="9" t="s">
        <v>12</v>
      </c>
      <c r="E205" s="9" t="s">
        <v>18</v>
      </c>
      <c r="F205" s="9" t="s">
        <v>270</v>
      </c>
      <c r="G205" s="9">
        <v>1.0</v>
      </c>
      <c r="H205" s="9" t="s">
        <v>165</v>
      </c>
      <c r="I205" s="9" t="s">
        <v>16</v>
      </c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9" t="s">
        <v>206</v>
      </c>
      <c r="C206" s="9" t="s">
        <v>268</v>
      </c>
      <c r="D206" s="9" t="s">
        <v>49</v>
      </c>
      <c r="E206" s="9" t="s">
        <v>57</v>
      </c>
      <c r="F206" s="9" t="s">
        <v>271</v>
      </c>
      <c r="G206" s="9">
        <v>15.0</v>
      </c>
      <c r="H206" s="9" t="s">
        <v>154</v>
      </c>
      <c r="I206" s="9" t="s">
        <v>16</v>
      </c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9" t="s">
        <v>206</v>
      </c>
      <c r="C207" s="9" t="s">
        <v>268</v>
      </c>
      <c r="D207" s="9" t="s">
        <v>49</v>
      </c>
      <c r="E207" s="9" t="s">
        <v>54</v>
      </c>
      <c r="F207" s="9" t="s">
        <v>272</v>
      </c>
      <c r="G207" s="9">
        <v>5.0</v>
      </c>
      <c r="H207" s="9" t="s">
        <v>52</v>
      </c>
      <c r="I207" s="9" t="s">
        <v>16</v>
      </c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9" t="s">
        <v>206</v>
      </c>
      <c r="C208" s="9" t="s">
        <v>268</v>
      </c>
      <c r="D208" s="9" t="s">
        <v>115</v>
      </c>
      <c r="E208" s="9" t="s">
        <v>116</v>
      </c>
      <c r="F208" s="9" t="s">
        <v>273</v>
      </c>
      <c r="G208" s="9">
        <v>1.0</v>
      </c>
      <c r="H208" s="9" t="s">
        <v>165</v>
      </c>
      <c r="I208" s="9" t="s">
        <v>16</v>
      </c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9" t="s">
        <v>206</v>
      </c>
      <c r="C209" s="9" t="s">
        <v>268</v>
      </c>
      <c r="D209" s="9" t="s">
        <v>12</v>
      </c>
      <c r="E209" s="9" t="s">
        <v>148</v>
      </c>
      <c r="F209" s="9" t="s">
        <v>149</v>
      </c>
      <c r="G209" s="9">
        <v>5.0</v>
      </c>
      <c r="H209" s="9" t="s">
        <v>15</v>
      </c>
      <c r="I209" s="9" t="s">
        <v>21</v>
      </c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9" t="s">
        <v>206</v>
      </c>
      <c r="C210" s="9" t="s">
        <v>268</v>
      </c>
      <c r="D210" s="9" t="s">
        <v>17</v>
      </c>
      <c r="E210" s="9" t="s">
        <v>18</v>
      </c>
      <c r="F210" s="9" t="s">
        <v>274</v>
      </c>
      <c r="G210" s="9">
        <v>8.0</v>
      </c>
      <c r="H210" s="9" t="s">
        <v>15</v>
      </c>
      <c r="I210" s="9" t="s">
        <v>21</v>
      </c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9" t="s">
        <v>206</v>
      </c>
      <c r="C211" s="9" t="s">
        <v>268</v>
      </c>
      <c r="D211" s="9" t="s">
        <v>17</v>
      </c>
      <c r="E211" s="9" t="s">
        <v>18</v>
      </c>
      <c r="F211" s="9" t="s">
        <v>275</v>
      </c>
      <c r="G211" s="9">
        <v>1.0</v>
      </c>
      <c r="H211" s="9" t="s">
        <v>15</v>
      </c>
      <c r="I211" s="9" t="s">
        <v>21</v>
      </c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9" t="s">
        <v>206</v>
      </c>
      <c r="C212" s="9" t="s">
        <v>268</v>
      </c>
      <c r="D212" s="9" t="s">
        <v>17</v>
      </c>
      <c r="E212" s="9" t="s">
        <v>276</v>
      </c>
      <c r="F212" s="9" t="s">
        <v>277</v>
      </c>
      <c r="G212" s="9">
        <v>1.0</v>
      </c>
      <c r="H212" s="9" t="s">
        <v>165</v>
      </c>
      <c r="I212" s="9" t="s">
        <v>21</v>
      </c>
      <c r="J212" s="10" t="s">
        <v>278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9" t="s">
        <v>206</v>
      </c>
      <c r="C213" s="9" t="s">
        <v>268</v>
      </c>
      <c r="D213" s="9" t="s">
        <v>17</v>
      </c>
      <c r="E213" s="9" t="s">
        <v>276</v>
      </c>
      <c r="F213" s="9" t="s">
        <v>279</v>
      </c>
      <c r="G213" s="9">
        <v>1.0</v>
      </c>
      <c r="H213" s="9" t="s">
        <v>165</v>
      </c>
      <c r="I213" s="9" t="s">
        <v>21</v>
      </c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9" t="s">
        <v>206</v>
      </c>
      <c r="C214" s="9" t="s">
        <v>268</v>
      </c>
      <c r="D214" s="9" t="s">
        <v>49</v>
      </c>
      <c r="E214" s="9" t="s">
        <v>57</v>
      </c>
      <c r="F214" s="9" t="s">
        <v>118</v>
      </c>
      <c r="G214" s="9">
        <v>3.0</v>
      </c>
      <c r="H214" s="9" t="s">
        <v>154</v>
      </c>
      <c r="I214" s="9" t="s">
        <v>16</v>
      </c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9" t="s">
        <v>206</v>
      </c>
      <c r="C215" s="9" t="s">
        <v>268</v>
      </c>
      <c r="D215" s="9" t="s">
        <v>49</v>
      </c>
      <c r="E215" s="9" t="s">
        <v>57</v>
      </c>
      <c r="F215" s="9" t="s">
        <v>280</v>
      </c>
      <c r="G215" s="9">
        <v>12.0</v>
      </c>
      <c r="H215" s="9" t="s">
        <v>52</v>
      </c>
      <c r="I215" s="9" t="s">
        <v>21</v>
      </c>
      <c r="J215" s="10" t="s">
        <v>281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9" t="s">
        <v>206</v>
      </c>
      <c r="C216" s="9" t="s">
        <v>268</v>
      </c>
      <c r="D216" s="9" t="s">
        <v>49</v>
      </c>
      <c r="E216" s="9" t="s">
        <v>50</v>
      </c>
      <c r="F216" s="9" t="s">
        <v>282</v>
      </c>
      <c r="G216" s="9">
        <v>2.0</v>
      </c>
      <c r="H216" s="9" t="s">
        <v>52</v>
      </c>
      <c r="I216" s="9" t="s">
        <v>21</v>
      </c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9" t="s">
        <v>206</v>
      </c>
      <c r="C217" s="9" t="s">
        <v>268</v>
      </c>
      <c r="D217" s="9" t="s">
        <v>49</v>
      </c>
      <c r="E217" s="9" t="s">
        <v>54</v>
      </c>
      <c r="F217" s="9" t="s">
        <v>283</v>
      </c>
      <c r="G217" s="9">
        <v>2.0</v>
      </c>
      <c r="H217" s="9" t="s">
        <v>52</v>
      </c>
      <c r="I217" s="9" t="s">
        <v>21</v>
      </c>
      <c r="J217" s="10" t="s">
        <v>284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9" t="s">
        <v>206</v>
      </c>
      <c r="C218" s="9" t="s">
        <v>268</v>
      </c>
      <c r="D218" s="9" t="s">
        <v>49</v>
      </c>
      <c r="E218" s="9" t="s">
        <v>50</v>
      </c>
      <c r="F218" s="9" t="s">
        <v>178</v>
      </c>
      <c r="G218" s="9">
        <v>4.0</v>
      </c>
      <c r="H218" s="9" t="s">
        <v>52</v>
      </c>
      <c r="I218" s="9" t="s">
        <v>21</v>
      </c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9" t="s">
        <v>206</v>
      </c>
      <c r="C219" s="9" t="s">
        <v>268</v>
      </c>
      <c r="D219" s="9" t="s">
        <v>12</v>
      </c>
      <c r="E219" s="9" t="s">
        <v>97</v>
      </c>
      <c r="F219" s="9" t="s">
        <v>98</v>
      </c>
      <c r="G219" s="9">
        <v>15.0</v>
      </c>
      <c r="H219" s="9" t="s">
        <v>15</v>
      </c>
      <c r="I219" s="9" t="s">
        <v>21</v>
      </c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9" t="s">
        <v>206</v>
      </c>
      <c r="C220" s="9" t="s">
        <v>268</v>
      </c>
      <c r="D220" s="9" t="s">
        <v>12</v>
      </c>
      <c r="E220" s="9" t="s">
        <v>99</v>
      </c>
      <c r="F220" s="9" t="s">
        <v>285</v>
      </c>
      <c r="G220" s="9">
        <v>2.0</v>
      </c>
      <c r="H220" s="9" t="s">
        <v>15</v>
      </c>
      <c r="I220" s="9" t="s">
        <v>21</v>
      </c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9" t="s">
        <v>206</v>
      </c>
      <c r="C221" s="9" t="s">
        <v>268</v>
      </c>
      <c r="D221" s="9" t="s">
        <v>17</v>
      </c>
      <c r="E221" s="9" t="s">
        <v>276</v>
      </c>
      <c r="F221" s="9" t="s">
        <v>286</v>
      </c>
      <c r="G221" s="9">
        <v>4.0</v>
      </c>
      <c r="H221" s="9" t="s">
        <v>165</v>
      </c>
      <c r="I221" s="9" t="s">
        <v>21</v>
      </c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9" t="s">
        <v>206</v>
      </c>
      <c r="C222" s="9" t="s">
        <v>268</v>
      </c>
      <c r="D222" s="9" t="s">
        <v>17</v>
      </c>
      <c r="E222" s="9" t="s">
        <v>276</v>
      </c>
      <c r="F222" s="9" t="s">
        <v>287</v>
      </c>
      <c r="G222" s="9">
        <v>4.0</v>
      </c>
      <c r="H222" s="9" t="s">
        <v>15</v>
      </c>
      <c r="I222" s="9" t="s">
        <v>21</v>
      </c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9" t="s">
        <v>206</v>
      </c>
      <c r="C223" s="9" t="s">
        <v>268</v>
      </c>
      <c r="D223" s="9" t="s">
        <v>49</v>
      </c>
      <c r="E223" s="9" t="s">
        <v>50</v>
      </c>
      <c r="F223" s="9" t="s">
        <v>288</v>
      </c>
      <c r="G223" s="9">
        <v>4.0</v>
      </c>
      <c r="H223" s="9" t="s">
        <v>52</v>
      </c>
      <c r="I223" s="9" t="s">
        <v>21</v>
      </c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9" t="s">
        <v>206</v>
      </c>
      <c r="C224" s="9" t="s">
        <v>289</v>
      </c>
      <c r="D224" s="9" t="s">
        <v>17</v>
      </c>
      <c r="E224" s="9" t="s">
        <v>276</v>
      </c>
      <c r="F224" s="9" t="s">
        <v>290</v>
      </c>
      <c r="G224" s="9">
        <v>1.0</v>
      </c>
      <c r="H224" s="9" t="s">
        <v>165</v>
      </c>
      <c r="I224" s="9" t="s">
        <v>16</v>
      </c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9" t="s">
        <v>206</v>
      </c>
      <c r="C225" s="9" t="s">
        <v>289</v>
      </c>
      <c r="D225" s="9" t="s">
        <v>115</v>
      </c>
      <c r="E225" s="9" t="s">
        <v>116</v>
      </c>
      <c r="F225" s="9" t="s">
        <v>214</v>
      </c>
      <c r="G225" s="9">
        <v>1.0</v>
      </c>
      <c r="H225" s="9" t="s">
        <v>165</v>
      </c>
      <c r="I225" s="9" t="s">
        <v>16</v>
      </c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9" t="s">
        <v>206</v>
      </c>
      <c r="C226" s="9" t="s">
        <v>289</v>
      </c>
      <c r="D226" s="9" t="s">
        <v>17</v>
      </c>
      <c r="E226" s="9" t="s">
        <v>276</v>
      </c>
      <c r="F226" s="9" t="s">
        <v>291</v>
      </c>
      <c r="G226" s="9">
        <v>1.0</v>
      </c>
      <c r="H226" s="9" t="s">
        <v>165</v>
      </c>
      <c r="I226" s="9" t="s">
        <v>16</v>
      </c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9" t="s">
        <v>206</v>
      </c>
      <c r="C227" s="9" t="s">
        <v>289</v>
      </c>
      <c r="D227" s="9" t="s">
        <v>17</v>
      </c>
      <c r="E227" s="9" t="s">
        <v>276</v>
      </c>
      <c r="F227" s="9" t="s">
        <v>292</v>
      </c>
      <c r="G227" s="9">
        <v>1.0</v>
      </c>
      <c r="H227" s="9" t="s">
        <v>165</v>
      </c>
      <c r="I227" s="9" t="s">
        <v>16</v>
      </c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9" t="s">
        <v>206</v>
      </c>
      <c r="C228" s="9" t="s">
        <v>289</v>
      </c>
      <c r="D228" s="9" t="s">
        <v>12</v>
      </c>
      <c r="E228" s="9" t="s">
        <v>99</v>
      </c>
      <c r="F228" s="9" t="s">
        <v>106</v>
      </c>
      <c r="G228" s="9">
        <v>2.0</v>
      </c>
      <c r="H228" s="9" t="s">
        <v>15</v>
      </c>
      <c r="I228" s="9" t="s">
        <v>16</v>
      </c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9" t="s">
        <v>206</v>
      </c>
      <c r="C229" s="9" t="s">
        <v>289</v>
      </c>
      <c r="D229" s="9" t="s">
        <v>17</v>
      </c>
      <c r="E229" s="9" t="s">
        <v>276</v>
      </c>
      <c r="F229" s="9" t="s">
        <v>293</v>
      </c>
      <c r="G229" s="9">
        <v>1.0</v>
      </c>
      <c r="H229" s="9" t="s">
        <v>165</v>
      </c>
      <c r="I229" s="9" t="s">
        <v>16</v>
      </c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9" t="s">
        <v>206</v>
      </c>
      <c r="C230" s="9" t="s">
        <v>289</v>
      </c>
      <c r="D230" s="9" t="s">
        <v>17</v>
      </c>
      <c r="E230" s="9" t="s">
        <v>18</v>
      </c>
      <c r="F230" s="9" t="s">
        <v>294</v>
      </c>
      <c r="G230" s="9">
        <v>1.0</v>
      </c>
      <c r="H230" s="9" t="s">
        <v>165</v>
      </c>
      <c r="I230" s="9" t="s">
        <v>16</v>
      </c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9" t="s">
        <v>206</v>
      </c>
      <c r="C231" s="9" t="s">
        <v>289</v>
      </c>
      <c r="D231" s="9" t="s">
        <v>12</v>
      </c>
      <c r="E231" s="9" t="s">
        <v>26</v>
      </c>
      <c r="F231" s="9" t="s">
        <v>295</v>
      </c>
      <c r="G231" s="9">
        <v>2.0</v>
      </c>
      <c r="H231" s="9" t="s">
        <v>15</v>
      </c>
      <c r="I231" s="9" t="s">
        <v>16</v>
      </c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9" t="s">
        <v>206</v>
      </c>
      <c r="C232" s="9" t="s">
        <v>289</v>
      </c>
      <c r="D232" s="9" t="s">
        <v>12</v>
      </c>
      <c r="E232" s="9" t="s">
        <v>99</v>
      </c>
      <c r="F232" s="9" t="s">
        <v>296</v>
      </c>
      <c r="G232" s="9">
        <v>3.0</v>
      </c>
      <c r="H232" s="9" t="s">
        <v>15</v>
      </c>
      <c r="I232" s="9" t="s">
        <v>16</v>
      </c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9" t="s">
        <v>206</v>
      </c>
      <c r="C233" s="9" t="s">
        <v>289</v>
      </c>
      <c r="D233" s="9" t="s">
        <v>17</v>
      </c>
      <c r="E233" s="9" t="s">
        <v>276</v>
      </c>
      <c r="F233" s="9" t="s">
        <v>297</v>
      </c>
      <c r="G233" s="9">
        <v>1.0</v>
      </c>
      <c r="H233" s="9" t="s">
        <v>165</v>
      </c>
      <c r="I233" s="9" t="s">
        <v>16</v>
      </c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9" t="s">
        <v>206</v>
      </c>
      <c r="C234" s="9" t="s">
        <v>289</v>
      </c>
      <c r="D234" s="9" t="s">
        <v>49</v>
      </c>
      <c r="E234" s="9" t="s">
        <v>57</v>
      </c>
      <c r="F234" s="9" t="s">
        <v>298</v>
      </c>
      <c r="G234" s="9">
        <v>8.0</v>
      </c>
      <c r="H234" s="9" t="s">
        <v>52</v>
      </c>
      <c r="I234" s="9" t="s">
        <v>21</v>
      </c>
      <c r="J234" s="10" t="s">
        <v>299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9" t="s">
        <v>206</v>
      </c>
      <c r="C235" s="9" t="s">
        <v>289</v>
      </c>
      <c r="D235" s="9" t="s">
        <v>49</v>
      </c>
      <c r="E235" s="9" t="s">
        <v>57</v>
      </c>
      <c r="F235" s="9" t="s">
        <v>300</v>
      </c>
      <c r="G235" s="9">
        <v>8.0</v>
      </c>
      <c r="H235" s="9" t="s">
        <v>52</v>
      </c>
      <c r="I235" s="9" t="s">
        <v>21</v>
      </c>
      <c r="J235" s="10" t="s">
        <v>299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9" t="s">
        <v>206</v>
      </c>
      <c r="C236" s="9" t="s">
        <v>289</v>
      </c>
      <c r="D236" s="9" t="s">
        <v>49</v>
      </c>
      <c r="E236" s="9" t="s">
        <v>57</v>
      </c>
      <c r="F236" s="9" t="s">
        <v>301</v>
      </c>
      <c r="G236" s="9">
        <v>1.0</v>
      </c>
      <c r="H236" s="9" t="s">
        <v>154</v>
      </c>
      <c r="I236" s="9" t="s">
        <v>16</v>
      </c>
      <c r="J236" s="10" t="s">
        <v>299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9" t="s">
        <v>206</v>
      </c>
      <c r="C237" s="9" t="s">
        <v>289</v>
      </c>
      <c r="D237" s="9" t="s">
        <v>12</v>
      </c>
      <c r="E237" s="9" t="s">
        <v>99</v>
      </c>
      <c r="F237" s="9" t="s">
        <v>105</v>
      </c>
      <c r="G237" s="9">
        <v>3.0</v>
      </c>
      <c r="H237" s="9" t="s">
        <v>15</v>
      </c>
      <c r="I237" s="9" t="s">
        <v>21</v>
      </c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9" t="s">
        <v>206</v>
      </c>
      <c r="C238" s="9" t="s">
        <v>289</v>
      </c>
      <c r="D238" s="9" t="s">
        <v>12</v>
      </c>
      <c r="E238" s="9" t="s">
        <v>99</v>
      </c>
      <c r="F238" s="9" t="s">
        <v>302</v>
      </c>
      <c r="G238" s="9">
        <v>2.0</v>
      </c>
      <c r="H238" s="9" t="s">
        <v>15</v>
      </c>
      <c r="I238" s="9" t="s">
        <v>21</v>
      </c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9" t="s">
        <v>206</v>
      </c>
      <c r="C239" s="9" t="s">
        <v>289</v>
      </c>
      <c r="D239" s="9" t="s">
        <v>12</v>
      </c>
      <c r="E239" s="9" t="s">
        <v>99</v>
      </c>
      <c r="F239" s="9" t="s">
        <v>303</v>
      </c>
      <c r="G239" s="9">
        <v>2.0</v>
      </c>
      <c r="H239" s="9" t="s">
        <v>15</v>
      </c>
      <c r="I239" s="9" t="s">
        <v>16</v>
      </c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9" t="s">
        <v>206</v>
      </c>
      <c r="C240" s="9" t="s">
        <v>289</v>
      </c>
      <c r="D240" s="9" t="s">
        <v>12</v>
      </c>
      <c r="E240" s="9" t="s">
        <v>99</v>
      </c>
      <c r="F240" s="9" t="s">
        <v>304</v>
      </c>
      <c r="G240" s="9">
        <v>2.0</v>
      </c>
      <c r="H240" s="9" t="s">
        <v>15</v>
      </c>
      <c r="I240" s="9" t="s">
        <v>21</v>
      </c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9" t="s">
        <v>206</v>
      </c>
      <c r="C241" s="9" t="s">
        <v>289</v>
      </c>
      <c r="D241" s="9" t="s">
        <v>115</v>
      </c>
      <c r="E241" s="9" t="s">
        <v>116</v>
      </c>
      <c r="F241" s="9" t="s">
        <v>117</v>
      </c>
      <c r="G241" s="9">
        <v>1.0</v>
      </c>
      <c r="H241" s="9" t="s">
        <v>67</v>
      </c>
      <c r="I241" s="9" t="s">
        <v>21</v>
      </c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9" t="s">
        <v>206</v>
      </c>
      <c r="C242" s="9" t="s">
        <v>289</v>
      </c>
      <c r="D242" s="9" t="s">
        <v>115</v>
      </c>
      <c r="E242" s="9" t="s">
        <v>116</v>
      </c>
      <c r="F242" s="9" t="s">
        <v>305</v>
      </c>
      <c r="G242" s="9">
        <v>2.0</v>
      </c>
      <c r="H242" s="9" t="s">
        <v>15</v>
      </c>
      <c r="I242" s="9" t="s">
        <v>21</v>
      </c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9" t="s">
        <v>206</v>
      </c>
      <c r="C243" s="9" t="s">
        <v>289</v>
      </c>
      <c r="D243" s="9" t="s">
        <v>12</v>
      </c>
      <c r="E243" s="9" t="s">
        <v>97</v>
      </c>
      <c r="F243" s="9" t="s">
        <v>306</v>
      </c>
      <c r="G243" s="1"/>
      <c r="H243" s="9" t="s">
        <v>67</v>
      </c>
      <c r="I243" s="9" t="s">
        <v>21</v>
      </c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9" t="s">
        <v>206</v>
      </c>
      <c r="C244" s="9" t="s">
        <v>289</v>
      </c>
      <c r="D244" s="9" t="s">
        <v>12</v>
      </c>
      <c r="E244" s="9" t="s">
        <v>307</v>
      </c>
      <c r="F244" s="9" t="s">
        <v>308</v>
      </c>
      <c r="G244" s="9">
        <v>8.0</v>
      </c>
      <c r="H244" s="9" t="s">
        <v>165</v>
      </c>
      <c r="I244" s="9" t="s">
        <v>21</v>
      </c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9" t="s">
        <v>206</v>
      </c>
      <c r="C245" s="9" t="s">
        <v>289</v>
      </c>
      <c r="D245" s="9" t="s">
        <v>17</v>
      </c>
      <c r="E245" s="9" t="s">
        <v>276</v>
      </c>
      <c r="F245" s="9" t="s">
        <v>309</v>
      </c>
      <c r="G245" s="9">
        <v>1.0</v>
      </c>
      <c r="H245" s="9" t="s">
        <v>15</v>
      </c>
      <c r="I245" s="9" t="s">
        <v>16</v>
      </c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9" t="s">
        <v>206</v>
      </c>
      <c r="C246" s="9" t="s">
        <v>289</v>
      </c>
      <c r="D246" s="9" t="s">
        <v>17</v>
      </c>
      <c r="E246" s="9" t="s">
        <v>276</v>
      </c>
      <c r="F246" s="9" t="s">
        <v>310</v>
      </c>
      <c r="G246" s="1"/>
      <c r="H246" s="9" t="s">
        <v>165</v>
      </c>
      <c r="I246" s="9" t="s">
        <v>21</v>
      </c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9" t="s">
        <v>206</v>
      </c>
      <c r="C247" s="9" t="s">
        <v>289</v>
      </c>
      <c r="D247" s="9" t="s">
        <v>12</v>
      </c>
      <c r="E247" s="9" t="s">
        <v>99</v>
      </c>
      <c r="F247" s="9" t="s">
        <v>311</v>
      </c>
      <c r="G247" s="9">
        <v>15.0</v>
      </c>
      <c r="H247" s="9" t="s">
        <v>15</v>
      </c>
      <c r="I247" s="9" t="s">
        <v>21</v>
      </c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9" t="s">
        <v>206</v>
      </c>
      <c r="C248" s="9" t="s">
        <v>289</v>
      </c>
      <c r="D248" s="9" t="s">
        <v>17</v>
      </c>
      <c r="E248" s="9" t="s">
        <v>276</v>
      </c>
      <c r="F248" s="9" t="s">
        <v>312</v>
      </c>
      <c r="G248" s="1"/>
      <c r="H248" s="9" t="s">
        <v>165</v>
      </c>
      <c r="I248" s="9" t="s">
        <v>21</v>
      </c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9" t="s">
        <v>206</v>
      </c>
      <c r="C249" s="9" t="s">
        <v>289</v>
      </c>
      <c r="D249" s="9" t="s">
        <v>12</v>
      </c>
      <c r="E249" s="9" t="s">
        <v>65</v>
      </c>
      <c r="F249" s="9" t="s">
        <v>313</v>
      </c>
      <c r="G249" s="9">
        <v>1.0</v>
      </c>
      <c r="H249" s="9" t="s">
        <v>67</v>
      </c>
      <c r="I249" s="9" t="s">
        <v>16</v>
      </c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9" t="s">
        <v>206</v>
      </c>
      <c r="C250" s="9" t="s">
        <v>289</v>
      </c>
      <c r="D250" s="9" t="s">
        <v>12</v>
      </c>
      <c r="E250" s="9" t="s">
        <v>65</v>
      </c>
      <c r="F250" s="9" t="s">
        <v>314</v>
      </c>
      <c r="G250" s="9">
        <v>2.0</v>
      </c>
      <c r="H250" s="9" t="s">
        <v>67</v>
      </c>
      <c r="I250" s="9" t="s">
        <v>16</v>
      </c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9" t="s">
        <v>206</v>
      </c>
      <c r="C251" s="9" t="s">
        <v>289</v>
      </c>
      <c r="D251" s="9" t="s">
        <v>12</v>
      </c>
      <c r="E251" s="9" t="s">
        <v>65</v>
      </c>
      <c r="F251" s="9" t="s">
        <v>315</v>
      </c>
      <c r="G251" s="9">
        <v>1.0</v>
      </c>
      <c r="H251" s="9" t="s">
        <v>67</v>
      </c>
      <c r="I251" s="9" t="s">
        <v>16</v>
      </c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9" t="s">
        <v>206</v>
      </c>
      <c r="C252" s="9" t="s">
        <v>289</v>
      </c>
      <c r="D252" s="9" t="s">
        <v>12</v>
      </c>
      <c r="E252" s="9" t="s">
        <v>65</v>
      </c>
      <c r="F252" s="9" t="s">
        <v>316</v>
      </c>
      <c r="G252" s="9">
        <v>1.0</v>
      </c>
      <c r="H252" s="9" t="s">
        <v>67</v>
      </c>
      <c r="I252" s="9" t="s">
        <v>21</v>
      </c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9" t="s">
        <v>206</v>
      </c>
      <c r="C253" s="9" t="s">
        <v>289</v>
      </c>
      <c r="D253" s="9" t="s">
        <v>12</v>
      </c>
      <c r="E253" s="9" t="s">
        <v>65</v>
      </c>
      <c r="F253" s="9" t="s">
        <v>317</v>
      </c>
      <c r="G253" s="9">
        <v>4.0</v>
      </c>
      <c r="H253" s="9" t="s">
        <v>67</v>
      </c>
      <c r="I253" s="9" t="s">
        <v>21</v>
      </c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9" t="s">
        <v>206</v>
      </c>
      <c r="C254" s="9" t="s">
        <v>289</v>
      </c>
      <c r="D254" s="9" t="s">
        <v>12</v>
      </c>
      <c r="E254" s="9" t="s">
        <v>65</v>
      </c>
      <c r="F254" s="9" t="s">
        <v>318</v>
      </c>
      <c r="G254" s="9">
        <v>2.0</v>
      </c>
      <c r="H254" s="9" t="s">
        <v>67</v>
      </c>
      <c r="I254" s="9" t="s">
        <v>21</v>
      </c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9" t="s">
        <v>206</v>
      </c>
      <c r="C255" s="9" t="s">
        <v>289</v>
      </c>
      <c r="D255" s="9" t="s">
        <v>12</v>
      </c>
      <c r="E255" s="9" t="s">
        <v>65</v>
      </c>
      <c r="F255" s="9" t="s">
        <v>319</v>
      </c>
      <c r="G255" s="9">
        <v>3.0</v>
      </c>
      <c r="H255" s="9" t="s">
        <v>67</v>
      </c>
      <c r="I255" s="9" t="s">
        <v>16</v>
      </c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9" t="s">
        <v>206</v>
      </c>
      <c r="C256" s="9" t="s">
        <v>289</v>
      </c>
      <c r="D256" s="9" t="s">
        <v>12</v>
      </c>
      <c r="E256" s="9" t="s">
        <v>65</v>
      </c>
      <c r="F256" s="9" t="s">
        <v>320</v>
      </c>
      <c r="G256" s="9">
        <v>4.0</v>
      </c>
      <c r="H256" s="9" t="s">
        <v>67</v>
      </c>
      <c r="I256" s="9" t="s">
        <v>21</v>
      </c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9" t="s">
        <v>206</v>
      </c>
      <c r="C257" s="9" t="s">
        <v>289</v>
      </c>
      <c r="D257" s="9" t="s">
        <v>12</v>
      </c>
      <c r="E257" s="9" t="s">
        <v>65</v>
      </c>
      <c r="F257" s="9" t="s">
        <v>66</v>
      </c>
      <c r="G257" s="9">
        <v>10.0</v>
      </c>
      <c r="H257" s="9" t="s">
        <v>67</v>
      </c>
      <c r="I257" s="9" t="s">
        <v>21</v>
      </c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9" t="s">
        <v>206</v>
      </c>
      <c r="C258" s="9" t="s">
        <v>289</v>
      </c>
      <c r="D258" s="9" t="s">
        <v>12</v>
      </c>
      <c r="E258" s="9" t="s">
        <v>97</v>
      </c>
      <c r="F258" s="9" t="s">
        <v>98</v>
      </c>
      <c r="G258" s="9">
        <v>4.0</v>
      </c>
      <c r="H258" s="9" t="s">
        <v>15</v>
      </c>
      <c r="I258" s="9" t="s">
        <v>21</v>
      </c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9" t="s">
        <v>206</v>
      </c>
      <c r="C259" s="9" t="s">
        <v>289</v>
      </c>
      <c r="D259" s="9" t="s">
        <v>12</v>
      </c>
      <c r="E259" s="9" t="s">
        <v>65</v>
      </c>
      <c r="F259" s="9" t="s">
        <v>321</v>
      </c>
      <c r="G259" s="9">
        <v>16.0</v>
      </c>
      <c r="H259" s="9" t="s">
        <v>15</v>
      </c>
      <c r="I259" s="9" t="s">
        <v>21</v>
      </c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9" t="s">
        <v>206</v>
      </c>
      <c r="C260" s="9" t="s">
        <v>289</v>
      </c>
      <c r="D260" s="9" t="s">
        <v>12</v>
      </c>
      <c r="E260" s="9" t="s">
        <v>65</v>
      </c>
      <c r="F260" s="9" t="s">
        <v>322</v>
      </c>
      <c r="G260" s="9">
        <v>2.0</v>
      </c>
      <c r="H260" s="9" t="s">
        <v>15</v>
      </c>
      <c r="I260" s="9" t="s">
        <v>21</v>
      </c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9" t="s">
        <v>206</v>
      </c>
      <c r="C261" s="9" t="s">
        <v>289</v>
      </c>
      <c r="D261" s="9" t="s">
        <v>12</v>
      </c>
      <c r="E261" s="9" t="s">
        <v>26</v>
      </c>
      <c r="F261" s="9" t="s">
        <v>323</v>
      </c>
      <c r="G261" s="9">
        <v>2.0</v>
      </c>
      <c r="H261" s="9" t="s">
        <v>15</v>
      </c>
      <c r="I261" s="9" t="s">
        <v>21</v>
      </c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9" t="s">
        <v>206</v>
      </c>
      <c r="C262" s="9" t="s">
        <v>289</v>
      </c>
      <c r="D262" s="9" t="s">
        <v>12</v>
      </c>
      <c r="E262" s="9" t="s">
        <v>26</v>
      </c>
      <c r="F262" s="9" t="s">
        <v>324</v>
      </c>
      <c r="G262" s="9">
        <v>1.0</v>
      </c>
      <c r="H262" s="9" t="s">
        <v>15</v>
      </c>
      <c r="I262" s="9" t="s">
        <v>21</v>
      </c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9" t="s">
        <v>206</v>
      </c>
      <c r="C263" s="9" t="s">
        <v>289</v>
      </c>
      <c r="D263" s="9" t="s">
        <v>12</v>
      </c>
      <c r="E263" s="9" t="s">
        <v>26</v>
      </c>
      <c r="F263" s="9" t="s">
        <v>86</v>
      </c>
      <c r="G263" s="9">
        <v>1.0</v>
      </c>
      <c r="H263" s="9" t="s">
        <v>15</v>
      </c>
      <c r="I263" s="9" t="s">
        <v>16</v>
      </c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9" t="s">
        <v>206</v>
      </c>
      <c r="C264" s="9" t="s">
        <v>289</v>
      </c>
      <c r="D264" s="9" t="s">
        <v>12</v>
      </c>
      <c r="E264" s="9" t="s">
        <v>26</v>
      </c>
      <c r="F264" s="9" t="s">
        <v>325</v>
      </c>
      <c r="G264" s="9">
        <v>1.0</v>
      </c>
      <c r="H264" s="9" t="s">
        <v>15</v>
      </c>
      <c r="I264" s="9" t="s">
        <v>21</v>
      </c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9" t="s">
        <v>206</v>
      </c>
      <c r="C265" s="9" t="s">
        <v>289</v>
      </c>
      <c r="D265" s="9" t="s">
        <v>12</v>
      </c>
      <c r="E265" s="9" t="s">
        <v>26</v>
      </c>
      <c r="F265" s="9" t="s">
        <v>32</v>
      </c>
      <c r="G265" s="9">
        <v>2.0</v>
      </c>
      <c r="H265" s="9" t="s">
        <v>67</v>
      </c>
      <c r="I265" s="9" t="s">
        <v>21</v>
      </c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9" t="s">
        <v>206</v>
      </c>
      <c r="C266" s="9" t="s">
        <v>289</v>
      </c>
      <c r="D266" s="9" t="s">
        <v>12</v>
      </c>
      <c r="E266" s="9" t="s">
        <v>26</v>
      </c>
      <c r="F266" s="9" t="s">
        <v>326</v>
      </c>
      <c r="G266" s="9">
        <v>2.0</v>
      </c>
      <c r="H266" s="9" t="s">
        <v>67</v>
      </c>
      <c r="I266" s="9" t="s">
        <v>21</v>
      </c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9" t="s">
        <v>206</v>
      </c>
      <c r="C267" s="9" t="s">
        <v>289</v>
      </c>
      <c r="D267" s="9" t="s">
        <v>12</v>
      </c>
      <c r="E267" s="9" t="s">
        <v>26</v>
      </c>
      <c r="F267" s="9" t="s">
        <v>327</v>
      </c>
      <c r="G267" s="9">
        <v>2.0</v>
      </c>
      <c r="H267" s="9" t="s">
        <v>67</v>
      </c>
      <c r="I267" s="9" t="s">
        <v>21</v>
      </c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9" t="s">
        <v>206</v>
      </c>
      <c r="C268" s="9" t="s">
        <v>289</v>
      </c>
      <c r="D268" s="9" t="s">
        <v>12</v>
      </c>
      <c r="E268" s="9" t="s">
        <v>26</v>
      </c>
      <c r="F268" s="9" t="s">
        <v>255</v>
      </c>
      <c r="G268" s="9">
        <v>2.0</v>
      </c>
      <c r="H268" s="9" t="s">
        <v>67</v>
      </c>
      <c r="I268" s="9" t="s">
        <v>21</v>
      </c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9" t="s">
        <v>206</v>
      </c>
      <c r="C269" s="9" t="s">
        <v>328</v>
      </c>
      <c r="D269" s="9" t="s">
        <v>17</v>
      </c>
      <c r="E269" s="9" t="s">
        <v>276</v>
      </c>
      <c r="F269" s="9" t="s">
        <v>329</v>
      </c>
      <c r="G269" s="9">
        <v>1.0</v>
      </c>
      <c r="H269" s="9" t="s">
        <v>165</v>
      </c>
      <c r="I269" s="9" t="s">
        <v>16</v>
      </c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9" t="s">
        <v>206</v>
      </c>
      <c r="C270" s="9" t="s">
        <v>328</v>
      </c>
      <c r="D270" s="9" t="s">
        <v>17</v>
      </c>
      <c r="E270" s="9" t="s">
        <v>276</v>
      </c>
      <c r="F270" s="9" t="s">
        <v>330</v>
      </c>
      <c r="G270" s="9">
        <v>1.0</v>
      </c>
      <c r="H270" s="9" t="s">
        <v>165</v>
      </c>
      <c r="I270" s="9" t="s">
        <v>16</v>
      </c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9" t="s">
        <v>206</v>
      </c>
      <c r="C271" s="9" t="s">
        <v>328</v>
      </c>
      <c r="D271" s="9" t="s">
        <v>115</v>
      </c>
      <c r="E271" s="9" t="s">
        <v>116</v>
      </c>
      <c r="F271" s="9" t="s">
        <v>331</v>
      </c>
      <c r="G271" s="9">
        <v>1.0</v>
      </c>
      <c r="H271" s="9" t="s">
        <v>165</v>
      </c>
      <c r="I271" s="9" t="s">
        <v>16</v>
      </c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9" t="s">
        <v>206</v>
      </c>
      <c r="C272" s="9" t="s">
        <v>328</v>
      </c>
      <c r="D272" s="9" t="s">
        <v>17</v>
      </c>
      <c r="E272" s="9" t="s">
        <v>276</v>
      </c>
      <c r="F272" s="9" t="s">
        <v>332</v>
      </c>
      <c r="G272" s="9">
        <v>1.0</v>
      </c>
      <c r="H272" s="9" t="s">
        <v>165</v>
      </c>
      <c r="I272" s="9" t="s">
        <v>16</v>
      </c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9" t="s">
        <v>206</v>
      </c>
      <c r="C273" s="9" t="s">
        <v>328</v>
      </c>
      <c r="D273" s="9" t="s">
        <v>17</v>
      </c>
      <c r="E273" s="9" t="s">
        <v>276</v>
      </c>
      <c r="F273" s="9" t="s">
        <v>333</v>
      </c>
      <c r="G273" s="9">
        <v>1.0</v>
      </c>
      <c r="H273" s="9" t="s">
        <v>165</v>
      </c>
      <c r="I273" s="9" t="s">
        <v>16</v>
      </c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9" t="s">
        <v>206</v>
      </c>
      <c r="C274" s="9" t="s">
        <v>328</v>
      </c>
      <c r="D274" s="9" t="s">
        <v>17</v>
      </c>
      <c r="E274" s="9" t="s">
        <v>276</v>
      </c>
      <c r="F274" s="9" t="s">
        <v>334</v>
      </c>
      <c r="G274" s="9">
        <v>1.0</v>
      </c>
      <c r="H274" s="9" t="s">
        <v>165</v>
      </c>
      <c r="I274" s="9" t="s">
        <v>16</v>
      </c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9" t="s">
        <v>206</v>
      </c>
      <c r="C275" s="9" t="s">
        <v>328</v>
      </c>
      <c r="D275" s="9" t="s">
        <v>17</v>
      </c>
      <c r="E275" s="9" t="s">
        <v>276</v>
      </c>
      <c r="F275" s="9" t="s">
        <v>287</v>
      </c>
      <c r="G275" s="9">
        <v>1.0</v>
      </c>
      <c r="H275" s="9" t="s">
        <v>165</v>
      </c>
      <c r="I275" s="9" t="s">
        <v>16</v>
      </c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9" t="s">
        <v>206</v>
      </c>
      <c r="C276" s="9" t="s">
        <v>328</v>
      </c>
      <c r="D276" s="9" t="s">
        <v>12</v>
      </c>
      <c r="E276" s="9" t="s">
        <v>26</v>
      </c>
      <c r="F276" s="9" t="s">
        <v>335</v>
      </c>
      <c r="G276" s="9">
        <v>1.0</v>
      </c>
      <c r="H276" s="9" t="s">
        <v>15</v>
      </c>
      <c r="I276" s="9" t="s">
        <v>16</v>
      </c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9" t="s">
        <v>206</v>
      </c>
      <c r="C277" s="9" t="s">
        <v>328</v>
      </c>
      <c r="D277" s="9" t="s">
        <v>12</v>
      </c>
      <c r="E277" s="9" t="s">
        <v>99</v>
      </c>
      <c r="F277" s="9" t="s">
        <v>336</v>
      </c>
      <c r="G277" s="9">
        <v>1.0</v>
      </c>
      <c r="H277" s="9" t="s">
        <v>15</v>
      </c>
      <c r="I277" s="9" t="s">
        <v>16</v>
      </c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9" t="s">
        <v>206</v>
      </c>
      <c r="C278" s="9" t="s">
        <v>328</v>
      </c>
      <c r="D278" s="9" t="s">
        <v>17</v>
      </c>
      <c r="E278" s="9" t="s">
        <v>276</v>
      </c>
      <c r="F278" s="9" t="s">
        <v>337</v>
      </c>
      <c r="G278" s="9">
        <v>1.0</v>
      </c>
      <c r="H278" s="9" t="s">
        <v>165</v>
      </c>
      <c r="I278" s="9" t="s">
        <v>16</v>
      </c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9" t="s">
        <v>206</v>
      </c>
      <c r="C279" s="9" t="s">
        <v>328</v>
      </c>
      <c r="D279" s="9" t="s">
        <v>17</v>
      </c>
      <c r="E279" s="9" t="s">
        <v>116</v>
      </c>
      <c r="F279" s="9" t="s">
        <v>338</v>
      </c>
      <c r="G279" s="9">
        <v>15.0</v>
      </c>
      <c r="H279" s="9" t="s">
        <v>15</v>
      </c>
      <c r="I279" s="9" t="s">
        <v>16</v>
      </c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9" t="s">
        <v>206</v>
      </c>
      <c r="C280" s="9" t="s">
        <v>328</v>
      </c>
      <c r="D280" s="9" t="s">
        <v>12</v>
      </c>
      <c r="E280" s="9" t="s">
        <v>99</v>
      </c>
      <c r="F280" s="9" t="s">
        <v>339</v>
      </c>
      <c r="G280" s="9">
        <v>1.0</v>
      </c>
      <c r="H280" s="9" t="s">
        <v>15</v>
      </c>
      <c r="I280" s="9" t="s">
        <v>16</v>
      </c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9" t="s">
        <v>206</v>
      </c>
      <c r="C281" s="9" t="s">
        <v>328</v>
      </c>
      <c r="D281" s="9" t="s">
        <v>17</v>
      </c>
      <c r="E281" s="9" t="s">
        <v>276</v>
      </c>
      <c r="F281" s="9" t="s">
        <v>340</v>
      </c>
      <c r="G281" s="9">
        <v>1.0</v>
      </c>
      <c r="H281" s="9" t="s">
        <v>165</v>
      </c>
      <c r="I281" s="9" t="s">
        <v>16</v>
      </c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9" t="s">
        <v>206</v>
      </c>
      <c r="C282" s="9" t="s">
        <v>328</v>
      </c>
      <c r="D282" s="9" t="s">
        <v>12</v>
      </c>
      <c r="E282" s="9" t="s">
        <v>209</v>
      </c>
      <c r="F282" s="9" t="s">
        <v>341</v>
      </c>
      <c r="G282" s="9">
        <v>4.0</v>
      </c>
      <c r="H282" s="9" t="s">
        <v>15</v>
      </c>
      <c r="I282" s="9" t="s">
        <v>16</v>
      </c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9" t="s">
        <v>206</v>
      </c>
      <c r="C283" s="9" t="s">
        <v>328</v>
      </c>
      <c r="D283" s="9" t="s">
        <v>12</v>
      </c>
      <c r="E283" s="9" t="s">
        <v>148</v>
      </c>
      <c r="F283" s="9" t="s">
        <v>342</v>
      </c>
      <c r="G283" s="9">
        <v>2.0</v>
      </c>
      <c r="H283" s="9" t="s">
        <v>15</v>
      </c>
      <c r="I283" s="9" t="s">
        <v>16</v>
      </c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9" t="s">
        <v>206</v>
      </c>
      <c r="C284" s="9" t="s">
        <v>328</v>
      </c>
      <c r="D284" s="9" t="s">
        <v>12</v>
      </c>
      <c r="E284" s="9" t="s">
        <v>99</v>
      </c>
      <c r="F284" s="9" t="s">
        <v>343</v>
      </c>
      <c r="G284" s="9">
        <v>1.0</v>
      </c>
      <c r="H284" s="9" t="s">
        <v>15</v>
      </c>
      <c r="I284" s="9" t="s">
        <v>21</v>
      </c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9" t="s">
        <v>206</v>
      </c>
      <c r="C285" s="9" t="s">
        <v>328</v>
      </c>
      <c r="D285" s="9" t="s">
        <v>12</v>
      </c>
      <c r="E285" s="9" t="s">
        <v>99</v>
      </c>
      <c r="F285" s="9" t="s">
        <v>344</v>
      </c>
      <c r="G285" s="9">
        <v>2.0</v>
      </c>
      <c r="H285" s="9" t="s">
        <v>15</v>
      </c>
      <c r="I285" s="9" t="s">
        <v>21</v>
      </c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9" t="s">
        <v>206</v>
      </c>
      <c r="C286" s="9" t="s">
        <v>328</v>
      </c>
      <c r="D286" s="9" t="s">
        <v>12</v>
      </c>
      <c r="E286" s="9" t="s">
        <v>99</v>
      </c>
      <c r="F286" s="9" t="s">
        <v>105</v>
      </c>
      <c r="G286" s="9">
        <v>3.0</v>
      </c>
      <c r="H286" s="9" t="s">
        <v>15</v>
      </c>
      <c r="I286" s="9" t="s">
        <v>21</v>
      </c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9" t="s">
        <v>206</v>
      </c>
      <c r="C287" s="9" t="s">
        <v>328</v>
      </c>
      <c r="D287" s="9" t="s">
        <v>12</v>
      </c>
      <c r="E287" s="9" t="s">
        <v>148</v>
      </c>
      <c r="F287" s="9" t="s">
        <v>345</v>
      </c>
      <c r="G287" s="9">
        <v>1.0</v>
      </c>
      <c r="H287" s="9" t="s">
        <v>15</v>
      </c>
      <c r="I287" s="9" t="s">
        <v>21</v>
      </c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9" t="s">
        <v>206</v>
      </c>
      <c r="C288" s="9" t="s">
        <v>328</v>
      </c>
      <c r="D288" s="9" t="s">
        <v>12</v>
      </c>
      <c r="E288" s="9" t="s">
        <v>148</v>
      </c>
      <c r="F288" s="9" t="s">
        <v>346</v>
      </c>
      <c r="G288" s="9">
        <v>1.0</v>
      </c>
      <c r="H288" s="9" t="s">
        <v>15</v>
      </c>
      <c r="I288" s="9" t="s">
        <v>21</v>
      </c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9" t="s">
        <v>206</v>
      </c>
      <c r="C289" s="9" t="s">
        <v>328</v>
      </c>
      <c r="D289" s="9" t="s">
        <v>12</v>
      </c>
      <c r="E289" s="9" t="s">
        <v>94</v>
      </c>
      <c r="F289" s="9" t="s">
        <v>347</v>
      </c>
      <c r="G289" s="9">
        <v>10.0</v>
      </c>
      <c r="H289" s="9" t="s">
        <v>15</v>
      </c>
      <c r="I289" s="9" t="s">
        <v>21</v>
      </c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9" t="s">
        <v>206</v>
      </c>
      <c r="C290" s="9" t="s">
        <v>328</v>
      </c>
      <c r="D290" s="9" t="s">
        <v>12</v>
      </c>
      <c r="E290" s="9" t="s">
        <v>94</v>
      </c>
      <c r="F290" s="9" t="s">
        <v>348</v>
      </c>
      <c r="G290" s="9">
        <v>30.0</v>
      </c>
      <c r="H290" s="9" t="s">
        <v>15</v>
      </c>
      <c r="I290" s="9" t="s">
        <v>21</v>
      </c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9" t="s">
        <v>206</v>
      </c>
      <c r="C291" s="9" t="s">
        <v>328</v>
      </c>
      <c r="D291" s="9" t="s">
        <v>17</v>
      </c>
      <c r="E291" s="9" t="s">
        <v>18</v>
      </c>
      <c r="F291" s="9" t="s">
        <v>349</v>
      </c>
      <c r="G291" s="9">
        <v>2.0</v>
      </c>
      <c r="H291" s="9" t="s">
        <v>15</v>
      </c>
      <c r="I291" s="9" t="s">
        <v>21</v>
      </c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9" t="s">
        <v>206</v>
      </c>
      <c r="C292" s="9" t="s">
        <v>328</v>
      </c>
      <c r="D292" s="9" t="s">
        <v>49</v>
      </c>
      <c r="E292" s="9" t="s">
        <v>57</v>
      </c>
      <c r="F292" s="9" t="s">
        <v>350</v>
      </c>
      <c r="G292" s="9">
        <v>4.0</v>
      </c>
      <c r="H292" s="9" t="s">
        <v>52</v>
      </c>
      <c r="I292" s="9" t="s">
        <v>21</v>
      </c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9" t="s">
        <v>206</v>
      </c>
      <c r="C293" s="9" t="s">
        <v>328</v>
      </c>
      <c r="D293" s="9" t="s">
        <v>49</v>
      </c>
      <c r="E293" s="9" t="s">
        <v>50</v>
      </c>
      <c r="F293" s="9" t="s">
        <v>351</v>
      </c>
      <c r="G293" s="9">
        <v>4.0</v>
      </c>
      <c r="H293" s="9" t="s">
        <v>52</v>
      </c>
      <c r="I293" s="9" t="s">
        <v>21</v>
      </c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9" t="s">
        <v>206</v>
      </c>
      <c r="C294" s="9" t="s">
        <v>328</v>
      </c>
      <c r="D294" s="9" t="s">
        <v>49</v>
      </c>
      <c r="E294" s="9" t="s">
        <v>50</v>
      </c>
      <c r="F294" s="9" t="s">
        <v>352</v>
      </c>
      <c r="G294" s="9">
        <v>4.0</v>
      </c>
      <c r="H294" s="9" t="s">
        <v>52</v>
      </c>
      <c r="I294" s="9" t="s">
        <v>21</v>
      </c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9" t="s">
        <v>206</v>
      </c>
      <c r="C295" s="9" t="s">
        <v>328</v>
      </c>
      <c r="D295" s="9" t="s">
        <v>12</v>
      </c>
      <c r="E295" s="9" t="s">
        <v>99</v>
      </c>
      <c r="F295" s="9" t="s">
        <v>104</v>
      </c>
      <c r="G295" s="9">
        <v>2.0</v>
      </c>
      <c r="H295" s="9" t="s">
        <v>15</v>
      </c>
      <c r="I295" s="9" t="s">
        <v>21</v>
      </c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9" t="s">
        <v>206</v>
      </c>
      <c r="C296" s="9" t="s">
        <v>328</v>
      </c>
      <c r="D296" s="9" t="s">
        <v>17</v>
      </c>
      <c r="E296" s="9" t="s">
        <v>276</v>
      </c>
      <c r="F296" s="9" t="s">
        <v>353</v>
      </c>
      <c r="G296" s="9">
        <v>1.0</v>
      </c>
      <c r="H296" s="9" t="s">
        <v>165</v>
      </c>
      <c r="I296" s="9" t="s">
        <v>21</v>
      </c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9" t="s">
        <v>206</v>
      </c>
      <c r="C297" s="9" t="s">
        <v>328</v>
      </c>
      <c r="D297" s="9" t="s">
        <v>17</v>
      </c>
      <c r="E297" s="9" t="s">
        <v>18</v>
      </c>
      <c r="F297" s="9" t="s">
        <v>354</v>
      </c>
      <c r="G297" s="9">
        <v>2.0</v>
      </c>
      <c r="H297" s="9" t="s">
        <v>15</v>
      </c>
      <c r="I297" s="9" t="s">
        <v>21</v>
      </c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9" t="s">
        <v>206</v>
      </c>
      <c r="C298" s="9" t="s">
        <v>328</v>
      </c>
      <c r="D298" s="9" t="s">
        <v>12</v>
      </c>
      <c r="E298" s="9" t="s">
        <v>26</v>
      </c>
      <c r="F298" s="9" t="s">
        <v>323</v>
      </c>
      <c r="G298" s="9">
        <v>2.0</v>
      </c>
      <c r="H298" s="9" t="s">
        <v>15</v>
      </c>
      <c r="I298" s="9" t="s">
        <v>70</v>
      </c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9" t="s">
        <v>206</v>
      </c>
      <c r="C299" s="9" t="s">
        <v>328</v>
      </c>
      <c r="D299" s="9" t="s">
        <v>12</v>
      </c>
      <c r="E299" s="9" t="s">
        <v>26</v>
      </c>
      <c r="F299" s="9" t="s">
        <v>355</v>
      </c>
      <c r="G299" s="9">
        <v>1.0</v>
      </c>
      <c r="H299" s="9" t="s">
        <v>67</v>
      </c>
      <c r="I299" s="9" t="s">
        <v>21</v>
      </c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9" t="s">
        <v>206</v>
      </c>
      <c r="C300" s="9" t="s">
        <v>328</v>
      </c>
      <c r="D300" s="9" t="s">
        <v>12</v>
      </c>
      <c r="E300" s="9" t="s">
        <v>26</v>
      </c>
      <c r="F300" s="9" t="s">
        <v>356</v>
      </c>
      <c r="G300" s="9">
        <v>1.0</v>
      </c>
      <c r="H300" s="9" t="s">
        <v>15</v>
      </c>
      <c r="I300" s="9" t="s">
        <v>21</v>
      </c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9" t="s">
        <v>206</v>
      </c>
      <c r="C301" s="9" t="s">
        <v>328</v>
      </c>
      <c r="D301" s="9" t="s">
        <v>12</v>
      </c>
      <c r="E301" s="9" t="s">
        <v>26</v>
      </c>
      <c r="F301" s="9" t="s">
        <v>326</v>
      </c>
      <c r="G301" s="9">
        <v>1.0</v>
      </c>
      <c r="H301" s="9" t="s">
        <v>67</v>
      </c>
      <c r="I301" s="9" t="s">
        <v>21</v>
      </c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9" t="s">
        <v>206</v>
      </c>
      <c r="C302" s="9" t="s">
        <v>328</v>
      </c>
      <c r="D302" s="9" t="s">
        <v>12</v>
      </c>
      <c r="E302" s="9" t="s">
        <v>26</v>
      </c>
      <c r="F302" s="9" t="s">
        <v>32</v>
      </c>
      <c r="G302" s="9">
        <v>1.0</v>
      </c>
      <c r="H302" s="9" t="s">
        <v>67</v>
      </c>
      <c r="I302" s="9" t="s">
        <v>21</v>
      </c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9" t="s">
        <v>206</v>
      </c>
      <c r="C303" s="9" t="s">
        <v>328</v>
      </c>
      <c r="D303" s="9" t="s">
        <v>12</v>
      </c>
      <c r="E303" s="9" t="s">
        <v>26</v>
      </c>
      <c r="F303" s="9" t="s">
        <v>357</v>
      </c>
      <c r="G303" s="9">
        <v>1.0</v>
      </c>
      <c r="H303" s="9" t="s">
        <v>15</v>
      </c>
      <c r="I303" s="9" t="s">
        <v>21</v>
      </c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9" t="s">
        <v>206</v>
      </c>
      <c r="C304" s="9" t="s">
        <v>328</v>
      </c>
      <c r="D304" s="9" t="s">
        <v>12</v>
      </c>
      <c r="E304" s="9" t="s">
        <v>26</v>
      </c>
      <c r="F304" s="9" t="s">
        <v>358</v>
      </c>
      <c r="G304" s="9">
        <v>1.0</v>
      </c>
      <c r="H304" s="9" t="s">
        <v>67</v>
      </c>
      <c r="I304" s="9" t="s">
        <v>21</v>
      </c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9" t="s">
        <v>206</v>
      </c>
      <c r="C305" s="9" t="s">
        <v>328</v>
      </c>
      <c r="D305" s="9" t="s">
        <v>12</v>
      </c>
      <c r="E305" s="9" t="s">
        <v>97</v>
      </c>
      <c r="F305" s="9" t="s">
        <v>359</v>
      </c>
      <c r="G305" s="9">
        <v>4.0</v>
      </c>
      <c r="H305" s="9" t="s">
        <v>67</v>
      </c>
      <c r="I305" s="9" t="s">
        <v>16</v>
      </c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9" t="s">
        <v>206</v>
      </c>
      <c r="C306" s="9" t="s">
        <v>328</v>
      </c>
      <c r="D306" s="9" t="s">
        <v>12</v>
      </c>
      <c r="E306" s="9" t="s">
        <v>97</v>
      </c>
      <c r="F306" s="9" t="s">
        <v>360</v>
      </c>
      <c r="G306" s="9">
        <v>1.0</v>
      </c>
      <c r="H306" s="9" t="s">
        <v>15</v>
      </c>
      <c r="I306" s="9" t="s">
        <v>16</v>
      </c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9" t="s">
        <v>206</v>
      </c>
      <c r="C307" s="9" t="s">
        <v>328</v>
      </c>
      <c r="D307" s="9" t="s">
        <v>12</v>
      </c>
      <c r="E307" s="9" t="s">
        <v>97</v>
      </c>
      <c r="F307" s="9" t="s">
        <v>361</v>
      </c>
      <c r="G307" s="9">
        <v>3.0</v>
      </c>
      <c r="H307" s="9" t="s">
        <v>15</v>
      </c>
      <c r="I307" s="9" t="s">
        <v>16</v>
      </c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9" t="s">
        <v>206</v>
      </c>
      <c r="C308" s="9" t="s">
        <v>328</v>
      </c>
      <c r="D308" s="9" t="s">
        <v>12</v>
      </c>
      <c r="E308" s="9" t="s">
        <v>97</v>
      </c>
      <c r="F308" s="9" t="s">
        <v>362</v>
      </c>
      <c r="G308" s="9">
        <v>4.0</v>
      </c>
      <c r="H308" s="9" t="s">
        <v>67</v>
      </c>
      <c r="I308" s="9" t="s">
        <v>16</v>
      </c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9" t="s">
        <v>206</v>
      </c>
      <c r="C309" s="9" t="s">
        <v>328</v>
      </c>
      <c r="D309" s="9" t="s">
        <v>12</v>
      </c>
      <c r="E309" s="9" t="s">
        <v>97</v>
      </c>
      <c r="F309" s="9" t="s">
        <v>363</v>
      </c>
      <c r="G309" s="9">
        <v>2.0</v>
      </c>
      <c r="H309" s="9" t="s">
        <v>67</v>
      </c>
      <c r="I309" s="9" t="s">
        <v>16</v>
      </c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9" t="s">
        <v>206</v>
      </c>
      <c r="C310" s="9" t="s">
        <v>328</v>
      </c>
      <c r="D310" s="9" t="s">
        <v>12</v>
      </c>
      <c r="E310" s="9" t="s">
        <v>97</v>
      </c>
      <c r="F310" s="9" t="s">
        <v>364</v>
      </c>
      <c r="G310" s="9">
        <v>2.0</v>
      </c>
      <c r="H310" s="9" t="s">
        <v>15</v>
      </c>
      <c r="I310" s="9" t="s">
        <v>21</v>
      </c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9" t="s">
        <v>206</v>
      </c>
      <c r="C311" s="9" t="s">
        <v>328</v>
      </c>
      <c r="D311" s="9" t="s">
        <v>12</v>
      </c>
      <c r="E311" s="9" t="s">
        <v>97</v>
      </c>
      <c r="F311" s="9" t="s">
        <v>189</v>
      </c>
      <c r="G311" s="9">
        <v>1.0</v>
      </c>
      <c r="H311" s="9" t="s">
        <v>15</v>
      </c>
      <c r="I311" s="9" t="s">
        <v>21</v>
      </c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9" t="s">
        <v>206</v>
      </c>
      <c r="C312" s="9" t="s">
        <v>365</v>
      </c>
      <c r="D312" s="9" t="s">
        <v>17</v>
      </c>
      <c r="E312" s="9" t="s">
        <v>18</v>
      </c>
      <c r="F312" s="9" t="s">
        <v>366</v>
      </c>
      <c r="G312" s="9">
        <v>9.0</v>
      </c>
      <c r="H312" s="9" t="s">
        <v>15</v>
      </c>
      <c r="I312" s="9" t="s">
        <v>16</v>
      </c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9" t="s">
        <v>206</v>
      </c>
      <c r="C313" s="9" t="s">
        <v>365</v>
      </c>
      <c r="D313" s="9" t="s">
        <v>17</v>
      </c>
      <c r="E313" s="9" t="s">
        <v>18</v>
      </c>
      <c r="F313" s="9" t="s">
        <v>367</v>
      </c>
      <c r="G313" s="9">
        <v>9.0</v>
      </c>
      <c r="H313" s="9" t="s">
        <v>15</v>
      </c>
      <c r="I313" s="9" t="s">
        <v>16</v>
      </c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9" t="s">
        <v>206</v>
      </c>
      <c r="C314" s="9" t="s">
        <v>365</v>
      </c>
      <c r="D314" s="9" t="s">
        <v>17</v>
      </c>
      <c r="E314" s="9" t="s">
        <v>276</v>
      </c>
      <c r="F314" s="9" t="s">
        <v>368</v>
      </c>
      <c r="G314" s="9">
        <v>1.0</v>
      </c>
      <c r="H314" s="9" t="s">
        <v>165</v>
      </c>
      <c r="I314" s="9" t="s">
        <v>16</v>
      </c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9" t="s">
        <v>206</v>
      </c>
      <c r="C315" s="9" t="s">
        <v>365</v>
      </c>
      <c r="D315" s="9" t="s">
        <v>12</v>
      </c>
      <c r="E315" s="9" t="s">
        <v>99</v>
      </c>
      <c r="F315" s="9" t="s">
        <v>369</v>
      </c>
      <c r="G315" s="9">
        <v>8.0</v>
      </c>
      <c r="H315" s="9" t="s">
        <v>15</v>
      </c>
      <c r="I315" s="9" t="s">
        <v>16</v>
      </c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9" t="s">
        <v>206</v>
      </c>
      <c r="C316" s="9" t="s">
        <v>365</v>
      </c>
      <c r="D316" s="9" t="s">
        <v>17</v>
      </c>
      <c r="E316" s="9" t="s">
        <v>18</v>
      </c>
      <c r="F316" s="9" t="s">
        <v>370</v>
      </c>
      <c r="G316" s="9">
        <v>1.0</v>
      </c>
      <c r="H316" s="9" t="s">
        <v>165</v>
      </c>
      <c r="I316" s="9" t="s">
        <v>16</v>
      </c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9" t="s">
        <v>206</v>
      </c>
      <c r="C317" s="9" t="s">
        <v>365</v>
      </c>
      <c r="D317" s="9" t="s">
        <v>12</v>
      </c>
      <c r="E317" s="9" t="s">
        <v>148</v>
      </c>
      <c r="F317" s="9" t="s">
        <v>345</v>
      </c>
      <c r="G317" s="9">
        <v>1.0</v>
      </c>
      <c r="H317" s="9" t="s">
        <v>15</v>
      </c>
      <c r="I317" s="9" t="s">
        <v>16</v>
      </c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9" t="s">
        <v>206</v>
      </c>
      <c r="C318" s="9" t="s">
        <v>365</v>
      </c>
      <c r="D318" s="9" t="s">
        <v>17</v>
      </c>
      <c r="E318" s="9" t="s">
        <v>276</v>
      </c>
      <c r="F318" s="9" t="s">
        <v>287</v>
      </c>
      <c r="G318" s="9">
        <v>1.0</v>
      </c>
      <c r="H318" s="9" t="s">
        <v>165</v>
      </c>
      <c r="I318" s="9" t="s">
        <v>16</v>
      </c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9" t="s">
        <v>206</v>
      </c>
      <c r="C319" s="9" t="s">
        <v>365</v>
      </c>
      <c r="D319" s="9" t="s">
        <v>17</v>
      </c>
      <c r="E319" s="9" t="s">
        <v>276</v>
      </c>
      <c r="F319" s="9" t="s">
        <v>371</v>
      </c>
      <c r="G319" s="9">
        <v>1.0</v>
      </c>
      <c r="H319" s="9" t="s">
        <v>165</v>
      </c>
      <c r="I319" s="9" t="s">
        <v>16</v>
      </c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9" t="s">
        <v>206</v>
      </c>
      <c r="C320" s="9" t="s">
        <v>365</v>
      </c>
      <c r="D320" s="9" t="s">
        <v>12</v>
      </c>
      <c r="E320" s="9" t="s">
        <v>99</v>
      </c>
      <c r="F320" s="9" t="s">
        <v>372</v>
      </c>
      <c r="G320" s="9">
        <v>1.0</v>
      </c>
      <c r="H320" s="9" t="s">
        <v>15</v>
      </c>
      <c r="I320" s="9" t="s">
        <v>16</v>
      </c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9" t="s">
        <v>206</v>
      </c>
      <c r="C321" s="9" t="s">
        <v>365</v>
      </c>
      <c r="D321" s="9" t="s">
        <v>12</v>
      </c>
      <c r="E321" s="9" t="s">
        <v>99</v>
      </c>
      <c r="F321" s="9" t="s">
        <v>373</v>
      </c>
      <c r="G321" s="9">
        <v>2.0</v>
      </c>
      <c r="H321" s="9" t="s">
        <v>15</v>
      </c>
      <c r="I321" s="9" t="s">
        <v>16</v>
      </c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9" t="s">
        <v>206</v>
      </c>
      <c r="C322" s="9" t="s">
        <v>365</v>
      </c>
      <c r="D322" s="9" t="s">
        <v>12</v>
      </c>
      <c r="E322" s="9" t="s">
        <v>99</v>
      </c>
      <c r="F322" s="9" t="s">
        <v>374</v>
      </c>
      <c r="G322" s="9">
        <v>5.0</v>
      </c>
      <c r="H322" s="9" t="s">
        <v>15</v>
      </c>
      <c r="I322" s="9" t="s">
        <v>21</v>
      </c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9" t="s">
        <v>206</v>
      </c>
      <c r="C323" s="9" t="s">
        <v>365</v>
      </c>
      <c r="D323" s="9" t="s">
        <v>12</v>
      </c>
      <c r="E323" s="9" t="s">
        <v>99</v>
      </c>
      <c r="F323" s="9" t="s">
        <v>375</v>
      </c>
      <c r="G323" s="9">
        <v>10.0</v>
      </c>
      <c r="H323" s="9" t="s">
        <v>15</v>
      </c>
      <c r="I323" s="9" t="s">
        <v>21</v>
      </c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9" t="s">
        <v>206</v>
      </c>
      <c r="C324" s="9" t="s">
        <v>365</v>
      </c>
      <c r="D324" s="9" t="s">
        <v>12</v>
      </c>
      <c r="E324" s="9" t="s">
        <v>99</v>
      </c>
      <c r="F324" s="9" t="s">
        <v>376</v>
      </c>
      <c r="G324" s="9">
        <v>2.0</v>
      </c>
      <c r="H324" s="9" t="s">
        <v>15</v>
      </c>
      <c r="I324" s="9" t="s">
        <v>21</v>
      </c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9" t="s">
        <v>206</v>
      </c>
      <c r="C325" s="9" t="s">
        <v>365</v>
      </c>
      <c r="D325" s="9" t="s">
        <v>17</v>
      </c>
      <c r="E325" s="9" t="s">
        <v>276</v>
      </c>
      <c r="F325" s="9" t="s">
        <v>377</v>
      </c>
      <c r="G325" s="9">
        <v>4.0</v>
      </c>
      <c r="H325" s="9" t="s">
        <v>15</v>
      </c>
      <c r="I325" s="9" t="s">
        <v>21</v>
      </c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9" t="s">
        <v>206</v>
      </c>
      <c r="C326" s="9" t="s">
        <v>365</v>
      </c>
      <c r="D326" s="9" t="s">
        <v>17</v>
      </c>
      <c r="E326" s="9" t="s">
        <v>276</v>
      </c>
      <c r="F326" s="9" t="s">
        <v>378</v>
      </c>
      <c r="G326" s="1"/>
      <c r="H326" s="9" t="s">
        <v>165</v>
      </c>
      <c r="I326" s="9" t="s">
        <v>21</v>
      </c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9" t="s">
        <v>206</v>
      </c>
      <c r="C327" s="9" t="s">
        <v>365</v>
      </c>
      <c r="D327" s="9" t="s">
        <v>17</v>
      </c>
      <c r="E327" s="9" t="s">
        <v>18</v>
      </c>
      <c r="F327" s="9" t="s">
        <v>379</v>
      </c>
      <c r="G327" s="9">
        <v>9.0</v>
      </c>
      <c r="H327" s="9" t="s">
        <v>15</v>
      </c>
      <c r="I327" s="9" t="s">
        <v>21</v>
      </c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9" t="s">
        <v>206</v>
      </c>
      <c r="C328" s="9" t="s">
        <v>365</v>
      </c>
      <c r="D328" s="9" t="s">
        <v>49</v>
      </c>
      <c r="E328" s="9" t="s">
        <v>57</v>
      </c>
      <c r="F328" s="9" t="s">
        <v>380</v>
      </c>
      <c r="G328" s="9">
        <v>8.0</v>
      </c>
      <c r="H328" s="9" t="s">
        <v>52</v>
      </c>
      <c r="I328" s="9" t="s">
        <v>21</v>
      </c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9" t="s">
        <v>206</v>
      </c>
      <c r="C329" s="9" t="s">
        <v>365</v>
      </c>
      <c r="D329" s="9" t="s">
        <v>12</v>
      </c>
      <c r="E329" s="9" t="s">
        <v>99</v>
      </c>
      <c r="F329" s="9" t="s">
        <v>381</v>
      </c>
      <c r="G329" s="9">
        <v>6.0</v>
      </c>
      <c r="H329" s="9" t="s">
        <v>15</v>
      </c>
      <c r="I329" s="9" t="s">
        <v>21</v>
      </c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9" t="s">
        <v>206</v>
      </c>
      <c r="C330" s="9" t="s">
        <v>365</v>
      </c>
      <c r="D330" s="9" t="s">
        <v>12</v>
      </c>
      <c r="E330" s="9" t="s">
        <v>148</v>
      </c>
      <c r="F330" s="9" t="s">
        <v>382</v>
      </c>
      <c r="G330" s="9">
        <v>2.0</v>
      </c>
      <c r="H330" s="9" t="s">
        <v>15</v>
      </c>
      <c r="I330" s="9" t="s">
        <v>21</v>
      </c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9" t="s">
        <v>206</v>
      </c>
      <c r="C331" s="9" t="s">
        <v>365</v>
      </c>
      <c r="D331" s="9" t="s">
        <v>12</v>
      </c>
      <c r="E331" s="9" t="s">
        <v>307</v>
      </c>
      <c r="F331" s="9" t="s">
        <v>383</v>
      </c>
      <c r="G331" s="9">
        <v>1.0</v>
      </c>
      <c r="H331" s="9" t="s">
        <v>165</v>
      </c>
      <c r="I331" s="9" t="s">
        <v>21</v>
      </c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9" t="s">
        <v>206</v>
      </c>
      <c r="C332" s="9" t="s">
        <v>365</v>
      </c>
      <c r="D332" s="9" t="s">
        <v>12</v>
      </c>
      <c r="E332" s="9" t="s">
        <v>276</v>
      </c>
      <c r="F332" s="9" t="s">
        <v>384</v>
      </c>
      <c r="G332" s="9">
        <v>1.0</v>
      </c>
      <c r="H332" s="9" t="s">
        <v>165</v>
      </c>
      <c r="I332" s="9" t="s">
        <v>21</v>
      </c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9" t="s">
        <v>206</v>
      </c>
      <c r="C333" s="9" t="s">
        <v>365</v>
      </c>
      <c r="D333" s="9" t="s">
        <v>12</v>
      </c>
      <c r="E333" s="9" t="s">
        <v>26</v>
      </c>
      <c r="F333" s="9" t="s">
        <v>323</v>
      </c>
      <c r="G333" s="9">
        <v>4.0</v>
      </c>
      <c r="H333" s="9" t="s">
        <v>15</v>
      </c>
      <c r="I333" s="9" t="s">
        <v>21</v>
      </c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9" t="s">
        <v>206</v>
      </c>
      <c r="C334" s="9" t="s">
        <v>365</v>
      </c>
      <c r="D334" s="9" t="s">
        <v>12</v>
      </c>
      <c r="E334" s="9" t="s">
        <v>26</v>
      </c>
      <c r="F334" s="9" t="s">
        <v>324</v>
      </c>
      <c r="G334" s="9">
        <v>2.0</v>
      </c>
      <c r="H334" s="9" t="s">
        <v>15</v>
      </c>
      <c r="I334" s="9" t="s">
        <v>70</v>
      </c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9" t="s">
        <v>206</v>
      </c>
      <c r="C335" s="9" t="s">
        <v>365</v>
      </c>
      <c r="D335" s="9" t="s">
        <v>12</v>
      </c>
      <c r="E335" s="9" t="s">
        <v>26</v>
      </c>
      <c r="F335" s="9" t="s">
        <v>86</v>
      </c>
      <c r="G335" s="9">
        <v>2.0</v>
      </c>
      <c r="H335" s="9" t="s">
        <v>15</v>
      </c>
      <c r="I335" s="9" t="s">
        <v>70</v>
      </c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9" t="s">
        <v>206</v>
      </c>
      <c r="C336" s="9" t="s">
        <v>365</v>
      </c>
      <c r="D336" s="9" t="s">
        <v>12</v>
      </c>
      <c r="E336" s="9" t="s">
        <v>26</v>
      </c>
      <c r="F336" s="9" t="s">
        <v>32</v>
      </c>
      <c r="G336" s="9">
        <v>1.0</v>
      </c>
      <c r="H336" s="9" t="s">
        <v>67</v>
      </c>
      <c r="I336" s="9" t="s">
        <v>21</v>
      </c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9" t="s">
        <v>206</v>
      </c>
      <c r="C337" s="9" t="s">
        <v>365</v>
      </c>
      <c r="D337" s="9" t="s">
        <v>12</v>
      </c>
      <c r="E337" s="9" t="s">
        <v>26</v>
      </c>
      <c r="F337" s="9" t="s">
        <v>326</v>
      </c>
      <c r="G337" s="9">
        <v>2.0</v>
      </c>
      <c r="H337" s="9" t="s">
        <v>67</v>
      </c>
      <c r="I337" s="9" t="s">
        <v>21</v>
      </c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9" t="s">
        <v>206</v>
      </c>
      <c r="C338" s="9" t="s">
        <v>365</v>
      </c>
      <c r="D338" s="9" t="s">
        <v>12</v>
      </c>
      <c r="E338" s="9" t="s">
        <v>26</v>
      </c>
      <c r="F338" s="9" t="s">
        <v>257</v>
      </c>
      <c r="G338" s="9">
        <v>2.0</v>
      </c>
      <c r="H338" s="9" t="s">
        <v>67</v>
      </c>
      <c r="I338" s="9" t="s">
        <v>21</v>
      </c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9" t="s">
        <v>206</v>
      </c>
      <c r="C339" s="9" t="s">
        <v>365</v>
      </c>
      <c r="D339" s="9" t="s">
        <v>12</v>
      </c>
      <c r="E339" s="9" t="s">
        <v>26</v>
      </c>
      <c r="F339" s="9" t="s">
        <v>255</v>
      </c>
      <c r="G339" s="9">
        <v>1.0</v>
      </c>
      <c r="H339" s="9" t="s">
        <v>67</v>
      </c>
      <c r="I339" s="9" t="s">
        <v>21</v>
      </c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9" t="s">
        <v>206</v>
      </c>
      <c r="C340" s="9" t="s">
        <v>365</v>
      </c>
      <c r="D340" s="9" t="s">
        <v>12</v>
      </c>
      <c r="E340" s="9" t="s">
        <v>26</v>
      </c>
      <c r="F340" s="9" t="s">
        <v>355</v>
      </c>
      <c r="G340" s="9">
        <v>3.0</v>
      </c>
      <c r="H340" s="9" t="s">
        <v>67</v>
      </c>
      <c r="I340" s="9" t="s">
        <v>21</v>
      </c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9" t="s">
        <v>206</v>
      </c>
      <c r="C341" s="9" t="s">
        <v>365</v>
      </c>
      <c r="D341" s="9" t="s">
        <v>12</v>
      </c>
      <c r="E341" s="9" t="s">
        <v>65</v>
      </c>
      <c r="F341" s="9" t="s">
        <v>385</v>
      </c>
      <c r="G341" s="9">
        <v>4.0</v>
      </c>
      <c r="H341" s="9" t="s">
        <v>67</v>
      </c>
      <c r="I341" s="9" t="s">
        <v>21</v>
      </c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9" t="s">
        <v>206</v>
      </c>
      <c r="C342" s="9" t="s">
        <v>365</v>
      </c>
      <c r="D342" s="9" t="s">
        <v>12</v>
      </c>
      <c r="E342" s="9" t="s">
        <v>65</v>
      </c>
      <c r="F342" s="9" t="s">
        <v>386</v>
      </c>
      <c r="G342" s="9">
        <v>1.0</v>
      </c>
      <c r="H342" s="9" t="s">
        <v>67</v>
      </c>
      <c r="I342" s="9" t="s">
        <v>16</v>
      </c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9" t="s">
        <v>206</v>
      </c>
      <c r="C343" s="9" t="s">
        <v>365</v>
      </c>
      <c r="D343" s="9" t="s">
        <v>12</v>
      </c>
      <c r="E343" s="9" t="s">
        <v>65</v>
      </c>
      <c r="F343" s="9" t="s">
        <v>387</v>
      </c>
      <c r="G343" s="9">
        <v>4.0</v>
      </c>
      <c r="H343" s="9" t="s">
        <v>15</v>
      </c>
      <c r="I343" s="9" t="s">
        <v>21</v>
      </c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9" t="s">
        <v>206</v>
      </c>
      <c r="C344" s="9" t="s">
        <v>365</v>
      </c>
      <c r="D344" s="9" t="s">
        <v>12</v>
      </c>
      <c r="E344" s="9" t="s">
        <v>65</v>
      </c>
      <c r="F344" s="9" t="s">
        <v>123</v>
      </c>
      <c r="G344" s="9">
        <v>3.0</v>
      </c>
      <c r="H344" s="9" t="s">
        <v>67</v>
      </c>
      <c r="I344" s="9" t="s">
        <v>16</v>
      </c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9" t="s">
        <v>206</v>
      </c>
      <c r="C345" s="9" t="s">
        <v>365</v>
      </c>
      <c r="D345" s="9" t="s">
        <v>12</v>
      </c>
      <c r="E345" s="9" t="s">
        <v>65</v>
      </c>
      <c r="F345" s="9" t="s">
        <v>69</v>
      </c>
      <c r="G345" s="9">
        <v>4.0</v>
      </c>
      <c r="H345" s="9" t="s">
        <v>67</v>
      </c>
      <c r="I345" s="9" t="s">
        <v>70</v>
      </c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9" t="s">
        <v>206</v>
      </c>
      <c r="C346" s="9" t="s">
        <v>365</v>
      </c>
      <c r="D346" s="9" t="s">
        <v>12</v>
      </c>
      <c r="E346" s="9" t="s">
        <v>65</v>
      </c>
      <c r="F346" s="9" t="s">
        <v>313</v>
      </c>
      <c r="G346" s="9">
        <v>2.0</v>
      </c>
      <c r="H346" s="9" t="s">
        <v>67</v>
      </c>
      <c r="I346" s="9" t="s">
        <v>70</v>
      </c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9" t="s">
        <v>206</v>
      </c>
      <c r="C347" s="9" t="s">
        <v>388</v>
      </c>
      <c r="D347" s="9" t="s">
        <v>115</v>
      </c>
      <c r="E347" s="9" t="s">
        <v>116</v>
      </c>
      <c r="F347" s="9" t="s">
        <v>214</v>
      </c>
      <c r="G347" s="9">
        <v>1.0</v>
      </c>
      <c r="H347" s="9" t="s">
        <v>165</v>
      </c>
      <c r="I347" s="9" t="s">
        <v>16</v>
      </c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9" t="s">
        <v>206</v>
      </c>
      <c r="C348" s="9" t="s">
        <v>388</v>
      </c>
      <c r="D348" s="9" t="s">
        <v>49</v>
      </c>
      <c r="E348" s="9" t="s">
        <v>50</v>
      </c>
      <c r="F348" s="9" t="s">
        <v>389</v>
      </c>
      <c r="G348" s="9">
        <v>2.0</v>
      </c>
      <c r="H348" s="9" t="s">
        <v>52</v>
      </c>
      <c r="I348" s="9" t="s">
        <v>16</v>
      </c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9" t="s">
        <v>206</v>
      </c>
      <c r="C349" s="9" t="s">
        <v>388</v>
      </c>
      <c r="D349" s="9" t="s">
        <v>49</v>
      </c>
      <c r="E349" s="9" t="s">
        <v>54</v>
      </c>
      <c r="F349" s="9" t="s">
        <v>390</v>
      </c>
      <c r="G349" s="9">
        <v>2.0</v>
      </c>
      <c r="H349" s="9" t="s">
        <v>52</v>
      </c>
      <c r="I349" s="9" t="s">
        <v>16</v>
      </c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9" t="s">
        <v>206</v>
      </c>
      <c r="C350" s="9" t="s">
        <v>388</v>
      </c>
      <c r="D350" s="9" t="s">
        <v>49</v>
      </c>
      <c r="E350" s="9" t="s">
        <v>54</v>
      </c>
      <c r="F350" s="9" t="s">
        <v>391</v>
      </c>
      <c r="G350" s="9">
        <v>5.0</v>
      </c>
      <c r="H350" s="9" t="s">
        <v>52</v>
      </c>
      <c r="I350" s="9" t="s">
        <v>16</v>
      </c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9" t="s">
        <v>206</v>
      </c>
      <c r="C351" s="9" t="s">
        <v>388</v>
      </c>
      <c r="D351" s="9" t="s">
        <v>12</v>
      </c>
      <c r="E351" s="9" t="s">
        <v>99</v>
      </c>
      <c r="F351" s="9" t="s">
        <v>392</v>
      </c>
      <c r="G351" s="9">
        <v>1.0</v>
      </c>
      <c r="H351" s="9" t="s">
        <v>165</v>
      </c>
      <c r="I351" s="9" t="s">
        <v>16</v>
      </c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9" t="s">
        <v>206</v>
      </c>
      <c r="C352" s="9" t="s">
        <v>388</v>
      </c>
      <c r="D352" s="9" t="s">
        <v>17</v>
      </c>
      <c r="E352" s="9" t="s">
        <v>276</v>
      </c>
      <c r="F352" s="9" t="s">
        <v>393</v>
      </c>
      <c r="G352" s="9">
        <v>1.0</v>
      </c>
      <c r="H352" s="9" t="s">
        <v>165</v>
      </c>
      <c r="I352" s="9" t="s">
        <v>16</v>
      </c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9" t="s">
        <v>206</v>
      </c>
      <c r="C353" s="9" t="s">
        <v>388</v>
      </c>
      <c r="D353" s="9" t="s">
        <v>17</v>
      </c>
      <c r="E353" s="9" t="s">
        <v>276</v>
      </c>
      <c r="F353" s="9" t="s">
        <v>337</v>
      </c>
      <c r="G353" s="9">
        <v>1.0</v>
      </c>
      <c r="H353" s="9" t="s">
        <v>165</v>
      </c>
      <c r="I353" s="9" t="s">
        <v>16</v>
      </c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9" t="s">
        <v>206</v>
      </c>
      <c r="C354" s="9" t="s">
        <v>388</v>
      </c>
      <c r="D354" s="9" t="s">
        <v>12</v>
      </c>
      <c r="E354" s="9" t="s">
        <v>26</v>
      </c>
      <c r="F354" s="9" t="s">
        <v>394</v>
      </c>
      <c r="G354" s="9">
        <v>1.0</v>
      </c>
      <c r="H354" s="9" t="s">
        <v>165</v>
      </c>
      <c r="I354" s="9" t="s">
        <v>16</v>
      </c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9" t="s">
        <v>206</v>
      </c>
      <c r="C355" s="9" t="s">
        <v>388</v>
      </c>
      <c r="D355" s="9" t="s">
        <v>17</v>
      </c>
      <c r="E355" s="9" t="s">
        <v>276</v>
      </c>
      <c r="F355" s="9" t="s">
        <v>395</v>
      </c>
      <c r="G355" s="9">
        <v>1.0</v>
      </c>
      <c r="H355" s="9" t="s">
        <v>165</v>
      </c>
      <c r="I355" s="9" t="s">
        <v>16</v>
      </c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9" t="s">
        <v>206</v>
      </c>
      <c r="C356" s="9" t="s">
        <v>388</v>
      </c>
      <c r="D356" s="9" t="s">
        <v>17</v>
      </c>
      <c r="E356" s="9" t="s">
        <v>276</v>
      </c>
      <c r="F356" s="9" t="s">
        <v>396</v>
      </c>
      <c r="G356" s="9">
        <v>1.0</v>
      </c>
      <c r="H356" s="9" t="s">
        <v>165</v>
      </c>
      <c r="I356" s="9" t="s">
        <v>16</v>
      </c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9" t="s">
        <v>206</v>
      </c>
      <c r="C357" s="9" t="s">
        <v>388</v>
      </c>
      <c r="D357" s="9" t="s">
        <v>12</v>
      </c>
      <c r="E357" s="9" t="s">
        <v>18</v>
      </c>
      <c r="F357" s="9" t="s">
        <v>397</v>
      </c>
      <c r="G357" s="9">
        <v>1.0</v>
      </c>
      <c r="H357" s="9" t="s">
        <v>165</v>
      </c>
      <c r="I357" s="9" t="s">
        <v>16</v>
      </c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9" t="s">
        <v>206</v>
      </c>
      <c r="C358" s="9" t="s">
        <v>388</v>
      </c>
      <c r="D358" s="9" t="s">
        <v>12</v>
      </c>
      <c r="E358" s="9" t="s">
        <v>99</v>
      </c>
      <c r="F358" s="9" t="s">
        <v>106</v>
      </c>
      <c r="G358" s="9">
        <v>3.0</v>
      </c>
      <c r="H358" s="9" t="s">
        <v>15</v>
      </c>
      <c r="I358" s="9" t="s">
        <v>21</v>
      </c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9" t="s">
        <v>206</v>
      </c>
      <c r="C359" s="9" t="s">
        <v>388</v>
      </c>
      <c r="D359" s="9" t="s">
        <v>12</v>
      </c>
      <c r="E359" s="9" t="s">
        <v>99</v>
      </c>
      <c r="F359" s="9" t="s">
        <v>398</v>
      </c>
      <c r="G359" s="9">
        <v>2.0</v>
      </c>
      <c r="H359" s="9" t="s">
        <v>15</v>
      </c>
      <c r="I359" s="9" t="s">
        <v>21</v>
      </c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9" t="s">
        <v>206</v>
      </c>
      <c r="C360" s="9" t="s">
        <v>388</v>
      </c>
      <c r="D360" s="9" t="s">
        <v>49</v>
      </c>
      <c r="E360" s="9" t="s">
        <v>50</v>
      </c>
      <c r="F360" s="9" t="s">
        <v>399</v>
      </c>
      <c r="G360" s="9">
        <v>4.0</v>
      </c>
      <c r="H360" s="9" t="s">
        <v>52</v>
      </c>
      <c r="I360" s="9" t="s">
        <v>21</v>
      </c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9" t="s">
        <v>206</v>
      </c>
      <c r="C361" s="9" t="s">
        <v>388</v>
      </c>
      <c r="D361" s="9" t="s">
        <v>49</v>
      </c>
      <c r="E361" s="9" t="s">
        <v>50</v>
      </c>
      <c r="F361" s="9" t="s">
        <v>400</v>
      </c>
      <c r="G361" s="9">
        <v>6.0</v>
      </c>
      <c r="H361" s="9" t="s">
        <v>52</v>
      </c>
      <c r="I361" s="9" t="s">
        <v>21</v>
      </c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9" t="s">
        <v>206</v>
      </c>
      <c r="C362" s="9" t="s">
        <v>388</v>
      </c>
      <c r="D362" s="9" t="s">
        <v>49</v>
      </c>
      <c r="E362" s="9" t="s">
        <v>50</v>
      </c>
      <c r="F362" s="9" t="s">
        <v>401</v>
      </c>
      <c r="G362" s="9">
        <v>2.0</v>
      </c>
      <c r="H362" s="9" t="s">
        <v>52</v>
      </c>
      <c r="I362" s="9" t="s">
        <v>21</v>
      </c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9" t="s">
        <v>206</v>
      </c>
      <c r="C363" s="9" t="s">
        <v>388</v>
      </c>
      <c r="D363" s="9" t="s">
        <v>49</v>
      </c>
      <c r="E363" s="9" t="s">
        <v>57</v>
      </c>
      <c r="F363" s="9" t="s">
        <v>402</v>
      </c>
      <c r="G363" s="9">
        <v>12.0</v>
      </c>
      <c r="H363" s="9" t="s">
        <v>52</v>
      </c>
      <c r="I363" s="9" t="s">
        <v>21</v>
      </c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9" t="s">
        <v>206</v>
      </c>
      <c r="C364" s="9" t="s">
        <v>388</v>
      </c>
      <c r="D364" s="9" t="s">
        <v>49</v>
      </c>
      <c r="E364" s="9" t="s">
        <v>57</v>
      </c>
      <c r="F364" s="9" t="s">
        <v>403</v>
      </c>
      <c r="G364" s="9">
        <v>12.0</v>
      </c>
      <c r="H364" s="9" t="s">
        <v>52</v>
      </c>
      <c r="I364" s="9" t="s">
        <v>21</v>
      </c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9" t="s">
        <v>206</v>
      </c>
      <c r="C365" s="9" t="s">
        <v>388</v>
      </c>
      <c r="D365" s="9" t="s">
        <v>49</v>
      </c>
      <c r="E365" s="9" t="s">
        <v>57</v>
      </c>
      <c r="F365" s="9" t="s">
        <v>404</v>
      </c>
      <c r="G365" s="9">
        <v>8.0</v>
      </c>
      <c r="H365" s="9" t="s">
        <v>52</v>
      </c>
      <c r="I365" s="9" t="s">
        <v>21</v>
      </c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9" t="s">
        <v>206</v>
      </c>
      <c r="C366" s="9" t="s">
        <v>388</v>
      </c>
      <c r="D366" s="9" t="s">
        <v>49</v>
      </c>
      <c r="E366" s="9" t="s">
        <v>57</v>
      </c>
      <c r="F366" s="9" t="s">
        <v>405</v>
      </c>
      <c r="G366" s="9">
        <v>30.0</v>
      </c>
      <c r="H366" s="9" t="s">
        <v>52</v>
      </c>
      <c r="I366" s="9" t="s">
        <v>16</v>
      </c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9" t="s">
        <v>206</v>
      </c>
      <c r="C367" s="9" t="s">
        <v>388</v>
      </c>
      <c r="D367" s="9" t="s">
        <v>12</v>
      </c>
      <c r="E367" s="9" t="s">
        <v>13</v>
      </c>
      <c r="F367" s="9" t="s">
        <v>14</v>
      </c>
      <c r="G367" s="9">
        <v>7.0</v>
      </c>
      <c r="H367" s="9" t="s">
        <v>406</v>
      </c>
      <c r="I367" s="9" t="s">
        <v>21</v>
      </c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9" t="s">
        <v>206</v>
      </c>
      <c r="C368" s="9" t="s">
        <v>388</v>
      </c>
      <c r="D368" s="9" t="s">
        <v>17</v>
      </c>
      <c r="E368" s="9" t="s">
        <v>276</v>
      </c>
      <c r="F368" s="9" t="s">
        <v>407</v>
      </c>
      <c r="G368" s="9">
        <v>1.0</v>
      </c>
      <c r="H368" s="9" t="s">
        <v>165</v>
      </c>
      <c r="I368" s="9" t="s">
        <v>16</v>
      </c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9" t="s">
        <v>206</v>
      </c>
      <c r="C369" s="9" t="s">
        <v>388</v>
      </c>
      <c r="D369" s="9" t="s">
        <v>12</v>
      </c>
      <c r="E369" s="9" t="s">
        <v>97</v>
      </c>
      <c r="F369" s="9" t="s">
        <v>408</v>
      </c>
      <c r="G369" s="9">
        <v>30.0</v>
      </c>
      <c r="H369" s="9" t="s">
        <v>406</v>
      </c>
      <c r="I369" s="9" t="s">
        <v>21</v>
      </c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9" t="s">
        <v>206</v>
      </c>
      <c r="C370" s="9" t="s">
        <v>388</v>
      </c>
      <c r="D370" s="9" t="s">
        <v>12</v>
      </c>
      <c r="E370" s="9" t="s">
        <v>97</v>
      </c>
      <c r="F370" s="9" t="s">
        <v>409</v>
      </c>
      <c r="G370" s="9">
        <v>1.0</v>
      </c>
      <c r="H370" s="9" t="s">
        <v>406</v>
      </c>
      <c r="I370" s="9" t="s">
        <v>21</v>
      </c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9" t="s">
        <v>206</v>
      </c>
      <c r="C371" s="9" t="s">
        <v>388</v>
      </c>
      <c r="D371" s="9" t="s">
        <v>12</v>
      </c>
      <c r="E371" s="9" t="s">
        <v>97</v>
      </c>
      <c r="F371" s="9" t="s">
        <v>98</v>
      </c>
      <c r="G371" s="9">
        <v>5.0</v>
      </c>
      <c r="H371" s="9" t="s">
        <v>406</v>
      </c>
      <c r="I371" s="9" t="s">
        <v>21</v>
      </c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2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2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2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2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2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2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2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2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2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2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2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2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2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2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2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2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2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2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2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2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2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2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2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2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2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2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2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2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2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2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2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2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2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2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2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2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2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2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2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2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2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2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2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2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2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2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2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2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2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2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2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2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2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2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2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2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2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2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2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2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2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2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2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2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2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2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2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2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2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2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2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2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2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2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2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2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2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2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2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2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2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2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</sheetData>
  <dataValidations>
    <dataValidation type="list" allowBlank="1" showErrorMessage="1" sqref="C5:C371">
      <formula1>"Francisco Rojas,Los Aguirre,Miguel Hidalgo y Costilla,Antonio de Caso Peralta,Lázaro Cárdenas,Urbana 1098,Carlos de Icaza,Justo Sierra,Las Mesitas,La Reserva,Manuel M Cerna,Margarita Maza de Juárez"</formula1>
    </dataValidation>
    <dataValidation type="list" allowBlank="1" showErrorMessage="1" sqref="H5:H371">
      <formula1>"Piezas,Costales,Tramos,Metros cúbicos,Tonelada,Metros cuadrados,Horas,Paquete,Pieza,Viajes,Metros,Grupos,Servicio,Camiones"</formula1>
    </dataValidation>
    <dataValidation type="list" allowBlank="1" showErrorMessage="1" sqref="D5:D371">
      <formula1>"Material,Infraestructura,Formación,Salud"</formula1>
    </dataValidation>
    <dataValidation type="list" allowBlank="1" showErrorMessage="1" sqref="I5:I371">
      <formula1>"Cubierto,Aun no cubierto,Cubierto parcialmente"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5" max="5" width="11.63"/>
    <col customWidth="1" min="6" max="6" width="11.88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>
      <c r="A2" s="12"/>
      <c r="B2" s="13" t="s">
        <v>410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>
      <c r="A3" s="12"/>
      <c r="B3" s="14" t="s">
        <v>411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>
      <c r="A4" s="12"/>
      <c r="B4" s="12"/>
      <c r="C4" s="12"/>
      <c r="D4" s="12"/>
      <c r="E4" s="12"/>
      <c r="G4" s="12"/>
      <c r="H4" s="12"/>
      <c r="I4" s="12"/>
      <c r="J4" s="12"/>
      <c r="K4" s="12"/>
      <c r="L4" s="12"/>
      <c r="M4" s="12"/>
      <c r="N4" s="12"/>
      <c r="O4" s="12"/>
    </row>
    <row r="5">
      <c r="A5" s="12"/>
      <c r="B5" s="15" t="s">
        <v>1</v>
      </c>
      <c r="C5" s="16" t="s">
        <v>412</v>
      </c>
      <c r="D5" s="15" t="s">
        <v>2</v>
      </c>
      <c r="E5" s="16" t="s">
        <v>413</v>
      </c>
      <c r="F5" s="15" t="s">
        <v>414</v>
      </c>
      <c r="G5" s="15" t="s">
        <v>415</v>
      </c>
      <c r="H5" s="15" t="s">
        <v>416</v>
      </c>
      <c r="I5" s="15" t="s">
        <v>417</v>
      </c>
      <c r="J5" s="15" t="s">
        <v>418</v>
      </c>
      <c r="K5" s="15" t="s">
        <v>419</v>
      </c>
      <c r="L5" s="15" t="s">
        <v>420</v>
      </c>
      <c r="M5" s="15" t="s">
        <v>421</v>
      </c>
      <c r="N5" s="12"/>
      <c r="O5" s="12"/>
    </row>
    <row r="6">
      <c r="A6" s="17">
        <v>1.0</v>
      </c>
      <c r="B6" s="18" t="s">
        <v>10</v>
      </c>
      <c r="C6" s="18" t="s">
        <v>422</v>
      </c>
      <c r="D6" s="18" t="s">
        <v>422</v>
      </c>
      <c r="E6" s="19">
        <v>6.0</v>
      </c>
      <c r="F6" s="19">
        <v>119.0</v>
      </c>
      <c r="G6" s="18" t="s">
        <v>423</v>
      </c>
      <c r="H6" s="18" t="s">
        <v>424</v>
      </c>
      <c r="I6" s="18" t="s">
        <v>425</v>
      </c>
      <c r="J6" s="18" t="s">
        <v>426</v>
      </c>
      <c r="K6" s="18" t="s">
        <v>427</v>
      </c>
      <c r="L6" s="18" t="s">
        <v>428</v>
      </c>
      <c r="M6" s="20" t="s">
        <v>429</v>
      </c>
      <c r="N6" s="12"/>
      <c r="O6" s="12"/>
    </row>
    <row r="7">
      <c r="A7" s="17">
        <v>2.0</v>
      </c>
      <c r="B7" s="18" t="s">
        <v>63</v>
      </c>
      <c r="C7" s="18" t="s">
        <v>64</v>
      </c>
      <c r="D7" s="18" t="s">
        <v>64</v>
      </c>
      <c r="E7" s="19">
        <v>1.0</v>
      </c>
      <c r="F7" s="19">
        <v>24.0</v>
      </c>
      <c r="G7" s="18" t="s">
        <v>430</v>
      </c>
      <c r="H7" s="18" t="s">
        <v>431</v>
      </c>
      <c r="I7" s="18" t="s">
        <v>432</v>
      </c>
      <c r="J7" s="18" t="s">
        <v>426</v>
      </c>
      <c r="K7" s="18" t="s">
        <v>433</v>
      </c>
      <c r="L7" s="18" t="s">
        <v>434</v>
      </c>
      <c r="M7" s="20" t="s">
        <v>435</v>
      </c>
      <c r="N7" s="21"/>
      <c r="O7" s="21"/>
    </row>
    <row r="8">
      <c r="A8" s="17">
        <v>3.0</v>
      </c>
      <c r="B8" s="18" t="s">
        <v>63</v>
      </c>
      <c r="C8" s="18" t="s">
        <v>122</v>
      </c>
      <c r="D8" s="18" t="s">
        <v>122</v>
      </c>
      <c r="E8" s="19">
        <v>15.0</v>
      </c>
      <c r="F8" s="19">
        <v>314.0</v>
      </c>
      <c r="G8" s="18" t="s">
        <v>423</v>
      </c>
      <c r="H8" s="18" t="s">
        <v>436</v>
      </c>
      <c r="I8" s="18" t="s">
        <v>437</v>
      </c>
      <c r="J8" s="18" t="s">
        <v>426</v>
      </c>
      <c r="K8" s="18" t="s">
        <v>433</v>
      </c>
      <c r="L8" s="18" t="s">
        <v>438</v>
      </c>
      <c r="M8" s="20" t="s">
        <v>439</v>
      </c>
      <c r="N8" s="21"/>
      <c r="O8" s="21"/>
    </row>
    <row r="9">
      <c r="A9" s="17">
        <v>4.0</v>
      </c>
      <c r="B9" s="18" t="s">
        <v>146</v>
      </c>
      <c r="C9" s="18" t="s">
        <v>147</v>
      </c>
      <c r="D9" s="18" t="s">
        <v>147</v>
      </c>
      <c r="E9" s="19">
        <v>16.0</v>
      </c>
      <c r="F9" s="19">
        <v>289.0</v>
      </c>
      <c r="G9" s="18" t="s">
        <v>423</v>
      </c>
      <c r="H9" s="18" t="s">
        <v>440</v>
      </c>
      <c r="I9" s="18" t="s">
        <v>437</v>
      </c>
      <c r="J9" s="18" t="s">
        <v>441</v>
      </c>
      <c r="K9" s="18" t="s">
        <v>433</v>
      </c>
      <c r="L9" s="18" t="s">
        <v>442</v>
      </c>
      <c r="M9" s="20" t="s">
        <v>443</v>
      </c>
      <c r="N9" s="21"/>
      <c r="O9" s="21"/>
    </row>
    <row r="10">
      <c r="A10" s="17">
        <v>5.0</v>
      </c>
      <c r="B10" s="18" t="s">
        <v>146</v>
      </c>
      <c r="C10" s="18" t="s">
        <v>161</v>
      </c>
      <c r="D10" s="18" t="s">
        <v>161</v>
      </c>
      <c r="E10" s="19">
        <v>12.0</v>
      </c>
      <c r="F10" s="19">
        <v>350.0</v>
      </c>
      <c r="G10" s="18" t="s">
        <v>423</v>
      </c>
      <c r="H10" s="18" t="s">
        <v>444</v>
      </c>
      <c r="I10" s="18" t="s">
        <v>437</v>
      </c>
      <c r="J10" s="18" t="s">
        <v>426</v>
      </c>
      <c r="K10" s="18" t="s">
        <v>427</v>
      </c>
      <c r="L10" s="18" t="s">
        <v>445</v>
      </c>
      <c r="M10" s="20" t="s">
        <v>446</v>
      </c>
      <c r="N10" s="21"/>
      <c r="O10" s="21"/>
    </row>
    <row r="11">
      <c r="A11" s="17">
        <v>6.0</v>
      </c>
      <c r="B11" s="18" t="s">
        <v>146</v>
      </c>
      <c r="C11" s="18" t="s">
        <v>447</v>
      </c>
      <c r="D11" s="18" t="s">
        <v>176</v>
      </c>
      <c r="E11" s="19">
        <v>16.0</v>
      </c>
      <c r="F11" s="19">
        <v>398.0</v>
      </c>
      <c r="G11" s="18" t="s">
        <v>423</v>
      </c>
      <c r="H11" s="18" t="s">
        <v>448</v>
      </c>
      <c r="I11" s="18" t="s">
        <v>437</v>
      </c>
      <c r="J11" s="18" t="s">
        <v>426</v>
      </c>
      <c r="K11" s="18" t="s">
        <v>427</v>
      </c>
      <c r="L11" s="18" t="s">
        <v>449</v>
      </c>
      <c r="M11" s="20" t="s">
        <v>450</v>
      </c>
      <c r="N11" s="21"/>
      <c r="O11" s="21"/>
    </row>
    <row r="12">
      <c r="A12" s="17">
        <v>7.0</v>
      </c>
      <c r="B12" s="18" t="s">
        <v>206</v>
      </c>
      <c r="C12" s="22" t="s">
        <v>451</v>
      </c>
      <c r="D12" s="23" t="s">
        <v>452</v>
      </c>
      <c r="E12" s="19">
        <v>2.0</v>
      </c>
      <c r="F12" s="19">
        <v>31.0</v>
      </c>
      <c r="G12" s="18" t="s">
        <v>423</v>
      </c>
      <c r="H12" s="18" t="s">
        <v>453</v>
      </c>
      <c r="I12" s="18" t="s">
        <v>425</v>
      </c>
      <c r="J12" s="18" t="s">
        <v>426</v>
      </c>
      <c r="K12" s="18" t="s">
        <v>433</v>
      </c>
      <c r="L12" s="18" t="s">
        <v>454</v>
      </c>
      <c r="M12" s="20" t="s">
        <v>455</v>
      </c>
      <c r="N12" s="21"/>
      <c r="O12" s="21"/>
    </row>
    <row r="13">
      <c r="A13" s="17">
        <v>7.0</v>
      </c>
      <c r="B13" s="18" t="s">
        <v>206</v>
      </c>
      <c r="C13" s="22" t="s">
        <v>451</v>
      </c>
      <c r="D13" s="23" t="s">
        <v>456</v>
      </c>
      <c r="E13" s="19">
        <v>1.0</v>
      </c>
      <c r="F13" s="19">
        <v>8.0</v>
      </c>
      <c r="G13" s="18" t="s">
        <v>457</v>
      </c>
      <c r="H13" s="18" t="s">
        <v>458</v>
      </c>
      <c r="I13" s="18" t="s">
        <v>432</v>
      </c>
      <c r="J13" s="18" t="s">
        <v>426</v>
      </c>
      <c r="K13" s="18" t="s">
        <v>433</v>
      </c>
      <c r="L13" s="18" t="s">
        <v>454</v>
      </c>
      <c r="M13" s="20" t="s">
        <v>455</v>
      </c>
      <c r="N13" s="21"/>
      <c r="O13" s="21"/>
    </row>
    <row r="14">
      <c r="A14" s="17">
        <v>7.0</v>
      </c>
      <c r="B14" s="18" t="s">
        <v>206</v>
      </c>
      <c r="C14" s="22" t="s">
        <v>451</v>
      </c>
      <c r="D14" s="23" t="s">
        <v>459</v>
      </c>
      <c r="E14" s="19">
        <v>1.0</v>
      </c>
      <c r="F14" s="19">
        <v>20.0</v>
      </c>
      <c r="G14" s="18" t="s">
        <v>430</v>
      </c>
      <c r="H14" s="18" t="s">
        <v>460</v>
      </c>
      <c r="I14" s="18" t="s">
        <v>432</v>
      </c>
      <c r="J14" s="18" t="s">
        <v>426</v>
      </c>
      <c r="K14" s="18" t="s">
        <v>433</v>
      </c>
      <c r="L14" s="18" t="s">
        <v>454</v>
      </c>
      <c r="M14" s="20" t="s">
        <v>455</v>
      </c>
      <c r="N14" s="21"/>
      <c r="O14" s="21"/>
    </row>
    <row r="15">
      <c r="A15" s="17">
        <v>8.0</v>
      </c>
      <c r="B15" s="18" t="s">
        <v>206</v>
      </c>
      <c r="C15" s="18" t="s">
        <v>268</v>
      </c>
      <c r="D15" s="18" t="s">
        <v>268</v>
      </c>
      <c r="E15" s="19">
        <v>21.0</v>
      </c>
      <c r="F15" s="19">
        <v>558.0</v>
      </c>
      <c r="G15" s="18" t="s">
        <v>423</v>
      </c>
      <c r="H15" s="18" t="s">
        <v>461</v>
      </c>
      <c r="I15" s="18" t="s">
        <v>437</v>
      </c>
      <c r="J15" s="18" t="s">
        <v>426</v>
      </c>
      <c r="K15" s="18" t="s">
        <v>462</v>
      </c>
      <c r="L15" s="18" t="s">
        <v>463</v>
      </c>
      <c r="M15" s="24" t="s">
        <v>464</v>
      </c>
      <c r="N15" s="25"/>
      <c r="O15" s="25"/>
    </row>
    <row r="16">
      <c r="A16" s="17">
        <v>9.0</v>
      </c>
      <c r="B16" s="18" t="s">
        <v>206</v>
      </c>
      <c r="C16" s="26" t="s">
        <v>289</v>
      </c>
      <c r="D16" s="27" t="s">
        <v>465</v>
      </c>
      <c r="E16" s="19">
        <v>2.0</v>
      </c>
      <c r="F16" s="19">
        <v>19.0</v>
      </c>
      <c r="G16" s="18" t="s">
        <v>457</v>
      </c>
      <c r="H16" s="18" t="s">
        <v>466</v>
      </c>
      <c r="I16" s="18" t="s">
        <v>432</v>
      </c>
      <c r="J16" s="18" t="s">
        <v>426</v>
      </c>
      <c r="K16" s="18" t="s">
        <v>433</v>
      </c>
      <c r="L16" s="18" t="s">
        <v>467</v>
      </c>
      <c r="M16" s="20" t="s">
        <v>468</v>
      </c>
      <c r="N16" s="21"/>
      <c r="O16" s="21"/>
    </row>
    <row r="17">
      <c r="A17" s="17">
        <v>9.0</v>
      </c>
      <c r="B17" s="18" t="s">
        <v>206</v>
      </c>
      <c r="C17" s="26" t="s">
        <v>289</v>
      </c>
      <c r="D17" s="27" t="s">
        <v>469</v>
      </c>
      <c r="E17" s="19">
        <v>2.0</v>
      </c>
      <c r="F17" s="19">
        <v>25.0</v>
      </c>
      <c r="G17" s="18" t="s">
        <v>430</v>
      </c>
      <c r="H17" s="18" t="s">
        <v>470</v>
      </c>
      <c r="I17" s="18" t="s">
        <v>432</v>
      </c>
      <c r="J17" s="18" t="s">
        <v>426</v>
      </c>
      <c r="K17" s="18" t="s">
        <v>433</v>
      </c>
      <c r="L17" s="18" t="s">
        <v>467</v>
      </c>
      <c r="M17" s="20" t="s">
        <v>468</v>
      </c>
      <c r="N17" s="21"/>
      <c r="O17" s="21"/>
    </row>
    <row r="18">
      <c r="A18" s="17">
        <v>10.0</v>
      </c>
      <c r="B18" s="18" t="s">
        <v>206</v>
      </c>
      <c r="C18" s="28" t="s">
        <v>328</v>
      </c>
      <c r="D18" s="29" t="s">
        <v>471</v>
      </c>
      <c r="E18" s="19">
        <v>1.0</v>
      </c>
      <c r="F18" s="19">
        <v>9.0</v>
      </c>
      <c r="G18" s="18" t="s">
        <v>457</v>
      </c>
      <c r="H18" s="18" t="s">
        <v>472</v>
      </c>
      <c r="I18" s="18" t="s">
        <v>432</v>
      </c>
      <c r="J18" s="18" t="s">
        <v>426</v>
      </c>
      <c r="K18" s="18" t="s">
        <v>433</v>
      </c>
      <c r="L18" s="18" t="s">
        <v>473</v>
      </c>
      <c r="M18" s="20" t="s">
        <v>474</v>
      </c>
      <c r="N18" s="21"/>
      <c r="O18" s="21"/>
    </row>
    <row r="19">
      <c r="A19" s="17">
        <v>10.0</v>
      </c>
      <c r="B19" s="18" t="s">
        <v>206</v>
      </c>
      <c r="C19" s="28" t="s">
        <v>328</v>
      </c>
      <c r="D19" s="29" t="s">
        <v>475</v>
      </c>
      <c r="E19" s="19">
        <v>1.0</v>
      </c>
      <c r="F19" s="19">
        <v>8.0</v>
      </c>
      <c r="G19" s="18" t="s">
        <v>423</v>
      </c>
      <c r="H19" s="18" t="s">
        <v>472</v>
      </c>
      <c r="I19" s="18" t="s">
        <v>432</v>
      </c>
      <c r="J19" s="18" t="s">
        <v>426</v>
      </c>
      <c r="K19" s="18" t="s">
        <v>433</v>
      </c>
      <c r="L19" s="18" t="s">
        <v>473</v>
      </c>
      <c r="M19" s="20" t="s">
        <v>474</v>
      </c>
      <c r="N19" s="21"/>
      <c r="O19" s="21"/>
    </row>
    <row r="20">
      <c r="A20" s="17">
        <v>11.0</v>
      </c>
      <c r="B20" s="18" t="s">
        <v>206</v>
      </c>
      <c r="C20" s="18" t="s">
        <v>365</v>
      </c>
      <c r="D20" s="18" t="s">
        <v>365</v>
      </c>
      <c r="E20" s="19">
        <v>2.0</v>
      </c>
      <c r="F20" s="19">
        <v>44.0</v>
      </c>
      <c r="G20" s="18" t="s">
        <v>423</v>
      </c>
      <c r="H20" s="18" t="s">
        <v>476</v>
      </c>
      <c r="I20" s="18" t="s">
        <v>425</v>
      </c>
      <c r="J20" s="18" t="s">
        <v>426</v>
      </c>
      <c r="K20" s="18" t="s">
        <v>433</v>
      </c>
      <c r="L20" s="18" t="s">
        <v>477</v>
      </c>
      <c r="M20" s="20" t="s">
        <v>478</v>
      </c>
      <c r="N20" s="21"/>
      <c r="O20" s="21"/>
    </row>
    <row r="21">
      <c r="A21" s="17">
        <v>12.0</v>
      </c>
      <c r="B21" s="18" t="s">
        <v>206</v>
      </c>
      <c r="C21" s="18" t="s">
        <v>479</v>
      </c>
      <c r="D21" s="18" t="s">
        <v>479</v>
      </c>
      <c r="E21" s="19">
        <v>15.0</v>
      </c>
      <c r="F21" s="19">
        <v>444.0</v>
      </c>
      <c r="G21" s="18" t="s">
        <v>423</v>
      </c>
      <c r="H21" s="18" t="s">
        <v>480</v>
      </c>
      <c r="I21" s="18" t="s">
        <v>437</v>
      </c>
      <c r="J21" s="18" t="s">
        <v>426</v>
      </c>
      <c r="K21" s="18" t="s">
        <v>433</v>
      </c>
      <c r="L21" s="18" t="s">
        <v>481</v>
      </c>
      <c r="M21" s="20" t="s">
        <v>482</v>
      </c>
      <c r="N21" s="21"/>
      <c r="O21" s="21"/>
    </row>
    <row r="22">
      <c r="A22" s="12"/>
      <c r="B22" s="12"/>
      <c r="C22" s="12"/>
      <c r="D22" s="12"/>
      <c r="E22" s="30">
        <f t="shared" ref="E22:F22" si="1">SUM(E6:E21)</f>
        <v>114</v>
      </c>
      <c r="F22" s="30">
        <f t="shared" si="1"/>
        <v>2660</v>
      </c>
      <c r="G22" s="12"/>
      <c r="H22" s="12"/>
      <c r="I22" s="12"/>
      <c r="J22" s="12"/>
      <c r="K22" s="12"/>
      <c r="L22" s="12"/>
      <c r="M22" s="12"/>
      <c r="N22" s="12"/>
      <c r="O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>
      <c r="A26" s="12"/>
      <c r="B26" s="12"/>
      <c r="C26" s="12"/>
      <c r="D26" s="12"/>
      <c r="E26" s="30">
        <f t="shared" ref="E26:F26" si="2">SUM(E6:E21)</f>
        <v>114</v>
      </c>
      <c r="F26" s="30">
        <f t="shared" si="2"/>
        <v>2660</v>
      </c>
      <c r="G26" s="12"/>
      <c r="H26" s="12"/>
      <c r="I26" s="12"/>
      <c r="J26" s="12"/>
      <c r="K26" s="12"/>
      <c r="L26" s="12"/>
      <c r="M26" s="12"/>
      <c r="N26" s="12"/>
      <c r="O26" s="12"/>
    </row>
    <row r="27">
      <c r="A27" s="12"/>
      <c r="B27" s="12"/>
      <c r="C27" s="12"/>
      <c r="D27" s="12"/>
      <c r="E27" s="30">
        <f>E26+19</f>
        <v>133</v>
      </c>
      <c r="F27" s="30">
        <f>F26+558</f>
        <v>3218</v>
      </c>
      <c r="G27" s="12"/>
      <c r="H27" s="12"/>
      <c r="I27" s="12"/>
      <c r="J27" s="12"/>
      <c r="K27" s="12"/>
      <c r="L27" s="12"/>
      <c r="M27" s="12"/>
      <c r="N27" s="12"/>
      <c r="O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</row>
  </sheetData>
  <hyperlinks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  <hyperlink r:id="rId19" ref="M21"/>
  </hyperlinks>
  <drawing r:id="rId20"/>
  <legacyDrawing r:id="rId21"/>
</worksheet>
</file>